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sources &amp; Pricing" sheetId="2" state="visible" r:id="rId4"/>
    <sheet name="Risks &amp; Assumptions" sheetId="3" state="visible" r:id="rId5"/>
    <sheet name="Roadmap" sheetId="4" state="visible" r:id="rId6"/>
    <sheet name="App Build Checklist" sheetId="5" state="visible" r:id="rId7"/>
    <sheet name="Azure Build Steps" sheetId="6" state="visible" r:id="rId8"/>
    <sheet name="Monthly Ops" sheetId="7" state="visible" r:id="rId9"/>
    <sheet name="IT Ques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<sst xmlns="http://schemas.openxmlformats.org/spreadsheetml/2006/main" count="709" uniqueCount="567">
  <si>
    <t xml:space="preserve">Employee Dashboard on Azure – Cost Estimate Summary</t>
  </si>
  <si>
    <t xml:space="preserve">Two estimates for 50 / 200 / 1,000 people. Figures are list price (₹95.5/$) before PwC's discount and update automatically from the 'Resources &amp; Pricing' tab.</t>
  </si>
  <si>
    <t xml:space="preserve">Monthly and yearly cost (₹)</t>
  </si>
  <si>
    <t xml:space="preserve">Estimate</t>
  </si>
  <si>
    <t xml:space="preserve">Up to 50</t>
  </si>
  <si>
    <t xml:space="preserve">Up to 200</t>
  </si>
  <si>
    <t xml:space="preserve">Up to 1,000</t>
  </si>
  <si>
    <t xml:space="preserve">SAVE – lean, accept a few manual steps · per month</t>
  </si>
  <si>
    <t xml:space="preserve">per year</t>
  </si>
  <si>
    <t xml:space="preserve">per person per month</t>
  </si>
  <si>
    <t xml:space="preserve">SAFE – no room for delay · per month</t>
  </si>
  <si>
    <t xml:space="preserve">Extra for SAFE · per month</t>
  </si>
  <si>
    <t xml:space="preserve">Extra for SAFE · per year</t>
  </si>
  <si>
    <t xml:space="preserve">SAFE saving option: a 1-year reservation on the P0v3 server ($469/year per instance vs $0.082/hour) cuts that line by ~35%. Ask IT.</t>
  </si>
  <si>
    <t xml:space="preserve">What you get, and what SAVE compromises</t>
  </si>
  <si>
    <t xml:space="preserve">Area</t>
  </si>
  <si>
    <t xml:space="preserve">SAVE (lean)</t>
  </si>
  <si>
    <t xml:space="preserve">SAFE (no room for delay)</t>
  </si>
  <si>
    <t xml:space="preserve">Impact of the SAVE compromise</t>
  </si>
  <si>
    <t xml:space="preserve">Server</t>
  </si>
  <si>
    <t xml:space="preserve">B1: 1 vCPU, 1.75 GB RAM, one instance</t>
  </si>
  <si>
    <t xml:space="preserve">P0v3: 4 GB RAM, faster CPU; 2 instances at ≤1,000 + autoscale</t>
  </si>
  <si>
    <t xml:space="preserve">If busy or data grows, pages slow until we click 'upgrade' (minutes, +₹1,255/month for B2)</t>
  </si>
  <si>
    <t xml:space="preserve">Testing monthly updates</t>
  </si>
  <si>
    <t xml:space="preserve">Upload as 'preview', check via admin link, then set live</t>
  </si>
  <si>
    <t xml:space="preserve">Staging slot: test on a copy, swap with zero downtime</t>
  </si>
  <si>
    <t xml:space="preserve">Small chance a bad file shows briefly; rollback &lt; 5 minutes</t>
  </si>
  <si>
    <t xml:space="preserve">Testing new app versions</t>
  </si>
  <si>
    <t xml:space="preserve">Tested locally, then deployed</t>
  </si>
  <si>
    <t xml:space="preserve">Separate test environment in Azure</t>
  </si>
  <si>
    <t xml:space="preserve">Fixes take slightly longer to verify; small deployment risk</t>
  </si>
  <si>
    <t xml:space="preserve">Network security</t>
  </si>
  <si>
    <t xml:space="preserve">Private endpoint on the app; storage + Key Vault locked with free service endpoints</t>
  </si>
  <si>
    <t xml:space="preserve">Private endpoints on app, test app, storage and Key Vault</t>
  </si>
  <si>
    <t xml:space="preserve">If InfoSec rejects service endpoints, we add 2 endpoints (+₹1,500/month) – possible delay waiting for that change</t>
  </si>
  <si>
    <t xml:space="preserve">Threat detection</t>
  </si>
  <si>
    <t xml:space="preserve">Not included</t>
  </si>
  <si>
    <t xml:space="preserve">Defender for App Service</t>
  </si>
  <si>
    <t xml:space="preserve">If policy mandates it, we turn it on later (setting)</t>
  </si>
  <si>
    <t xml:space="preserve">Audit logs</t>
  </si>
  <si>
    <t xml:space="preserve">30 days</t>
  </si>
  <si>
    <t xml:space="preserve">90 days, more detail</t>
  </si>
  <si>
    <t xml:space="preserve">Longer retention can be switched on later</t>
  </si>
  <si>
    <t xml:space="preserve">Outages</t>
  </si>
  <si>
    <t xml:space="preserve">Single server: Azure patching can cause a few minutes' downtime</t>
  </si>
  <si>
    <t xml:space="preserve">2 servers at ≤1,000 (no single point of failure)</t>
  </si>
  <si>
    <t xml:space="preserve">Rare short interruptions</t>
  </si>
  <si>
    <t xml:space="preserve">Everything users see</t>
  </si>
  <si>
    <t xml:space="preserve">Same</t>
  </si>
  <si>
    <t xml:space="preserve">None – both run the same app and the same access rules</t>
  </si>
  <si>
    <t xml:space="preserve">Your data, and what it means for sizing</t>
  </si>
  <si>
    <t xml:space="preserve">• Today: ~6 MB of data for 3 months (excluding photos) → assume up to ~2 MB more each month.</t>
  </si>
  <si>
    <t xml:space="preserve">• Keeping 24 months online → ~48 MB of data. Photos (~25 KB × people) are stored separately and load only when on screen.</t>
  </si>
  <si>
    <t xml:space="preserve">• Design rule (both estimates): data is stored per month; pages load the last 3 months by default and older months only when picked in the Month filter. Normal MD visit ≈ 1 MB compressed instead of ~7 MB.</t>
  </si>
  <si>
    <t xml:space="preserve">• Server memory: ~48 MB of data needs roughly 1 GB in memory → fits B1 (1.75 GB) but with less headroom each year; P0v3 (4 GB) has years of headroom. See 'Risks &amp; Assumptions'.</t>
  </si>
  <si>
    <t xml:space="preserve">• Whatever we choose, the 35–40 MB single HTML file goes away: photos and data are no longer inside the page.</t>
  </si>
  <si>
    <t xml:space="preserve">Resources &amp; Pricing – Save vs Safe, for up to 50 / 200 / 1,000 people</t>
  </si>
  <si>
    <t xml:space="preserve">Central India · Linux · pay-as-you-go list prices, Azure Retail Prices API (checked Oct 2026) unless marked. Blue = input you can change · yellow = IT to fill · everything else is a formula.</t>
  </si>
  <si>
    <t xml:space="preserve">Inputs</t>
  </si>
  <si>
    <t xml:space="preserve">INR per USD</t>
  </si>
  <si>
    <t xml:space="preserve">Update to PwC billing rate</t>
  </si>
  <si>
    <t xml:space="preserve">PwC enterprise discount</t>
  </si>
  <si>
    <t xml:space="preserve">IT to fill in (0% = list price)</t>
  </si>
  <si>
    <t xml:space="preserve">Hours per month</t>
  </si>
  <si>
    <t xml:space="preserve">Azure standard</t>
  </si>
  <si>
    <t xml:space="preserve">Usage &amp; data assumptions</t>
  </si>
  <si>
    <t xml:space="preserve">Why it matters</t>
  </si>
  <si>
    <t xml:space="preserve">Users</t>
  </si>
  <si>
    <t xml:space="preserve">Sizes the bandwidth, reads and logs</t>
  </si>
  <si>
    <t xml:space="preserve">Visits per user per month</t>
  </si>
  <si>
    <t xml:space="preserve">Conservative for a monthly dashboard</t>
  </si>
  <si>
    <t xml:space="preserve">Average MB downloaded per visit (compressed)</t>
  </si>
  <si>
    <t xml:space="preserve">Page ~1 MB (cached after first visit) + own data slice + on-screen photos</t>
  </si>
  <si>
    <t xml:space="preserve">Storage reads per visit</t>
  </si>
  <si>
    <t xml:space="preserve">Photos as you scroll + data files</t>
  </si>
  <si>
    <t xml:space="preserve">Log MB per user per month</t>
  </si>
  <si>
    <t xml:space="preserve">Requests + access audit rows</t>
  </si>
  <si>
    <t xml:space="preserve">Data size today, excl. photos (MB)</t>
  </si>
  <si>
    <t xml:space="preserve">Stated: ~6,000 KB for 3 months of data</t>
  </si>
  <si>
    <t xml:space="preserve">Months of data in that size</t>
  </si>
  <si>
    <t xml:space="preserve">Stated</t>
  </si>
  <si>
    <t xml:space="preserve">Months of history to keep online</t>
  </si>
  <si>
    <t xml:space="preserve">Assumption – older months archived (still in storage, not loaded)</t>
  </si>
  <si>
    <t xml:space="preserve">Photo size per person (KB)</t>
  </si>
  <si>
    <t xml:space="preserve">Stated: ~25 KB each</t>
  </si>
  <si>
    <t xml:space="preserve">→ Data growth per month (MB) – assumes all of today's size grows</t>
  </si>
  <si>
    <t xml:space="preserve">Upper bound; the profile/skills part does not really grow</t>
  </si>
  <si>
    <t xml:space="preserve">→ Data kept online after 24 months (MB)</t>
  </si>
  <si>
    <t xml:space="preserve">What the server holds in memory if it loads everything</t>
  </si>
  <si>
    <t xml:space="preserve">→ Photos total (MB)</t>
  </si>
  <si>
    <t xml:space="preserve">Stored once, loaded only when on screen</t>
  </si>
  <si>
    <t xml:space="preserve">→ MD full history download, compressed (MB)</t>
  </si>
  <si>
    <t xml:space="preserve">If an MD loads ALL months at once (~85% compression). Design loads last 3 months by default</t>
  </si>
  <si>
    <t xml:space="preserve">→ Default MD download – last 3 months, compressed (MB)</t>
  </si>
  <si>
    <t xml:space="preserve">What an MD downloads on a normal visit</t>
  </si>
  <si>
    <t xml:space="preserve">→ Rough server memory needed (MB)</t>
  </si>
  <si>
    <t xml:space="preserve">Data × ~8 in memory × 2 workers + ~300 MB app. B1 = 1,750 MB, B2 = 3,500, P0v3 = 4,000</t>
  </si>
  <si>
    <t xml:space="preserve">→ Data sent / processed (GB/month)</t>
  </si>
  <si>
    <t xml:space="preserve">Free up to 100 GB/month per subscription</t>
  </si>
  <si>
    <t xml:space="preserve">→ Storage reads (10K ops/month)</t>
  </si>
  <si>
    <t xml:space="preserve">→ Log GB/month</t>
  </si>
  <si>
    <t xml:space="preserve">Free up to 5 GB/month</t>
  </si>
  <si>
    <t xml:space="preserve">Resource-by-resource pricing (₹ per month after discount)</t>
  </si>
  <si>
    <t xml:space="preserve">Quantities (hours, units, GB) →</t>
  </si>
  <si>
    <t xml:space="preserve">#</t>
  </si>
  <si>
    <t xml:space="preserve">Resource</t>
  </si>
  <si>
    <t xml:space="preserve">What it does</t>
  </si>
  <si>
    <t xml:space="preserve">Unit price (USD)</t>
  </si>
  <si>
    <t xml:space="preserve">Unit</t>
  </si>
  <si>
    <t xml:space="preserve">Save ≤50</t>
  </si>
  <si>
    <t xml:space="preserve">Save ≤200</t>
  </si>
  <si>
    <t xml:space="preserve">Save ≤1000</t>
  </si>
  <si>
    <t xml:space="preserve">Safe ≤50</t>
  </si>
  <si>
    <t xml:space="preserve">Safe ≤200</t>
  </si>
  <si>
    <t xml:space="preserve">Safe ≤1000</t>
  </si>
  <si>
    <t xml:space="preserve">Save ₹ ≤50</t>
  </si>
  <si>
    <t xml:space="preserve">Save ₹ ≤200</t>
  </si>
  <si>
    <t xml:space="preserve">Save ₹ ≤1000</t>
  </si>
  <si>
    <t xml:space="preserve">Safe ₹ ≤50</t>
  </si>
  <si>
    <t xml:space="preserve">Safe ₹ ≤200</t>
  </si>
  <si>
    <t xml:space="preserve">Safe ₹ ≤1000</t>
  </si>
  <si>
    <t xml:space="preserve">Price source / notes</t>
  </si>
  <si>
    <t xml:space="preserve">IT discounted ₹/mo (Safe ≤1000)</t>
  </si>
  <si>
    <t xml:space="preserve">App Service Plan – Basic B1 (Linux), production</t>
  </si>
  <si>
    <t xml:space="preserve">Server: 1 vCPU, 1.75 GB RAM</t>
  </si>
  <si>
    <t xml:space="preserve">hour</t>
  </si>
  <si>
    <t xml:space="preserve">Azure Retail Prices API, Central India ($0.018/hr)</t>
  </si>
  <si>
    <t xml:space="preserve">App Service Plan – Premium P0v3 (Linux), production</t>
  </si>
  <si>
    <t xml:space="preserve">Server: 1 vCPU, 4 GB RAM, faster CPU; staging slot + autoscale included</t>
  </si>
  <si>
    <t xml:space="preserve">hour × instance</t>
  </si>
  <si>
    <t xml:space="preserve">Azure Retail Prices API, Central India ($0.082/hr). Safe ≤1000 runs 2 instances all the time</t>
  </si>
  <si>
    <t xml:space="preserve">Staging slot</t>
  </si>
  <si>
    <t xml:space="preserve">Test each monthly update on a copy, swap live with zero downtime</t>
  </si>
  <si>
    <t xml:space="preserve">included</t>
  </si>
  <si>
    <t xml:space="preserve">Included in Premium; not available on Basic</t>
  </si>
  <si>
    <t xml:space="preserve">Autoscale</t>
  </si>
  <si>
    <t xml:space="preserve">Adds an instance automatically at busy times</t>
  </si>
  <si>
    <t xml:space="preserve">Included in Premium; extra instance-hours beyond the qty above are extra</t>
  </si>
  <si>
    <t xml:space="preserve">Test environment – App Service B1 (Linux)</t>
  </si>
  <si>
    <t xml:space="preserve">Separate test app so new versions are tested without touching live</t>
  </si>
  <si>
    <t xml:space="preserve">Azure Retail Prices API, Central India ($0.018/hr). Save tests on the live app's 'preview' instead</t>
  </si>
  <si>
    <t xml:space="preserve">Microsoft Defender for App Service</t>
  </si>
  <si>
    <t xml:space="preserve">Threat detection on the production app</t>
  </si>
  <si>
    <t xml:space="preserve">Azure Retail Prices API, Central India ($0.02/hr per instance)</t>
  </si>
  <si>
    <t xml:space="preserve">Private endpoint – production Web App</t>
  </si>
  <si>
    <t xml:space="preserve">App reachable only from PwC network/VPN</t>
  </si>
  <si>
    <t xml:space="preserve">Microsoft published Private Link rate ($0.01/hr) – NOT returned by the API; IT to confirm</t>
  </si>
  <si>
    <t xml:space="preserve">Private endpoint – test Web App</t>
  </si>
  <si>
    <t xml:space="preserve">Test app also private</t>
  </si>
  <si>
    <t xml:space="preserve">As above</t>
  </si>
  <si>
    <t xml:space="preserve">Private endpoint – Storage</t>
  </si>
  <si>
    <t xml:space="preserve">Storage has no public address</t>
  </si>
  <si>
    <t xml:space="preserve">As above. Save uses free service endpoints</t>
  </si>
  <si>
    <t xml:space="preserve">Private endpoint – Key Vault</t>
  </si>
  <si>
    <t xml:space="preserve">Key Vault has no public address</t>
  </si>
  <si>
    <t xml:space="preserve">Private endpoint – data processed</t>
  </si>
  <si>
    <t xml:space="preserve">Traffic through private endpoints</t>
  </si>
  <si>
    <t xml:space="preserve">GB</t>
  </si>
  <si>
    <t xml:space="preserve">$0.01/GB published rate; Safe +20% for storage traffic</t>
  </si>
  <si>
    <t xml:space="preserve">Private DNS zones</t>
  </si>
  <si>
    <t xml:space="preserve">Resolve private addresses</t>
  </si>
  <si>
    <t xml:space="preserve">zone</t>
  </si>
  <si>
    <t xml:space="preserve">Azure Retail Prices API, Central India ($0.50/zone). ₹0 if PwC central DNS is used</t>
  </si>
  <si>
    <t xml:space="preserve">Storage – data stored (Hot LRS)</t>
  </si>
  <si>
    <t xml:space="preserve">Monthly data files, photos, access rules + versions</t>
  </si>
  <si>
    <t xml:space="preserve">GB/month</t>
  </si>
  <si>
    <t xml:space="preserve">Azure Retail Prices API, Central India ($0.02/GB). Safe keeps more versions + test copy</t>
  </si>
  <si>
    <t xml:space="preserve">Storage – read operations</t>
  </si>
  <si>
    <t xml:space="preserve">Photo and data reads</t>
  </si>
  <si>
    <t xml:space="preserve">10K ops</t>
  </si>
  <si>
    <t xml:space="preserve">Azure Retail Prices API, Central India ($0.0044 per 10K)</t>
  </si>
  <si>
    <t xml:space="preserve">Storage – write operations</t>
  </si>
  <si>
    <t xml:space="preserve">Monthly uploads</t>
  </si>
  <si>
    <t xml:space="preserve">Azure Retail Prices API, Central India ($0.055 per 10K)</t>
  </si>
  <si>
    <t xml:space="preserve">Key Vault (Standard) – operations</t>
  </si>
  <si>
    <t xml:space="preserve">Secrets kept out of code</t>
  </si>
  <si>
    <t xml:space="preserve">Azure Retail Prices API, Central India ($0.03 per 10K)</t>
  </si>
  <si>
    <t xml:space="preserve">Azure Monitor – metric alert rules</t>
  </si>
  <si>
    <t xml:space="preserve">Down, errors, slow, CPU, memory</t>
  </si>
  <si>
    <t xml:space="preserve">rule</t>
  </si>
  <si>
    <t xml:space="preserve">Azure Retail Prices API, Central India (first 10 rules free)</t>
  </si>
  <si>
    <t xml:space="preserve">Azure Monitor – log alert rules</t>
  </si>
  <si>
    <t xml:space="preserve">Upload failed; unusual access (Safe)</t>
  </si>
  <si>
    <t xml:space="preserve">Azure Retail Prices API, Central India ($0.50/rule)</t>
  </si>
  <si>
    <t xml:space="preserve">Log Analytics – ingestion above free 5 GB</t>
  </si>
  <si>
    <t xml:space="preserve">App logs + access audit</t>
  </si>
  <si>
    <t xml:space="preserve">Azure Retail Prices API, Central India ($3.22/GB). Safe logs +50% detail</t>
  </si>
  <si>
    <t xml:space="preserve">Log Analytics – retention beyond 31 days</t>
  </si>
  <si>
    <t xml:space="preserve">Keep audit logs 90 days</t>
  </si>
  <si>
    <t xml:space="preserve">GB-month</t>
  </si>
  <si>
    <t xml:space="preserve">Azure Retail Prices API, Central India ($0.14/GB/month)</t>
  </si>
  <si>
    <t xml:space="preserve">Outbound bandwidth</t>
  </si>
  <si>
    <t xml:space="preserve">Pages/data/photos to users</t>
  </si>
  <si>
    <t xml:space="preserve">First 100 GB/month free per subscription</t>
  </si>
  <si>
    <t xml:space="preserve">Entra ID sign-in, app registration, 2 groups</t>
  </si>
  <si>
    <t xml:space="preserve">PwC single sign-on + MD/Director groups</t>
  </si>
  <si>
    <t xml:space="preserve">—</t>
  </si>
  <si>
    <t xml:space="preserve">Existing PwC tenant – no charge</t>
  </si>
  <si>
    <t xml:space="preserve">Web App, built-in auth, managed identity, TLS, backups</t>
  </si>
  <si>
    <t xml:space="preserve">The dashboard + security basics</t>
  </si>
  <si>
    <t xml:space="preserve">Included in the App Service plan</t>
  </si>
  <si>
    <t xml:space="preserve">VNet, subnets, NSG, VNet integration, service endpoints</t>
  </si>
  <si>
    <t xml:space="preserve">Private network plumbing</t>
  </si>
  <si>
    <t xml:space="preserve">No charge</t>
  </si>
  <si>
    <t xml:space="preserve">Resource group, CI/CD pipeline, cost budget alert</t>
  </si>
  <si>
    <t xml:space="preserve">Container, deployments, spend warning</t>
  </si>
  <si>
    <t xml:space="preserve">Free / free tier</t>
  </si>
  <si>
    <t xml:space="preserve">TOTAL per month (₹)</t>
  </si>
  <si>
    <t xml:space="preserve">Where SAVE may go wrong – assumptions, warning signs, fix and extra cost</t>
  </si>
  <si>
    <t xml:space="preserve">SAFE already covers the items marked 'Yes'. Costs are list ₹/month.</t>
  </si>
  <si>
    <t xml:space="preserve">Assumption in SAVE</t>
  </si>
  <si>
    <t xml:space="preserve">What could break it</t>
  </si>
  <si>
    <t xml:space="preserve">How we'd notice</t>
  </si>
  <si>
    <t xml:space="preserve">Fix</t>
  </si>
  <si>
    <t xml:space="preserve">Time to fix</t>
  </si>
  <si>
    <t xml:space="preserve">Extra ₹/month</t>
  </si>
  <si>
    <t xml:space="preserve">Covered by SAFE?</t>
  </si>
  <si>
    <t xml:space="preserve">Data stays ≲ 50 MB online (24 months, loaded by month)</t>
  </si>
  <si>
    <t xml:space="preserve">We keep all history forever, or load all months at once</t>
  </si>
  <si>
    <t xml:space="preserve">Memory alert &gt; 80%; slow pages</t>
  </si>
  <si>
    <t xml:space="preserve">Archive months older than 24, or move to B2</t>
  </si>
  <si>
    <t xml:space="preserve">Minutes (setting)</t>
  </si>
  <si>
    <t xml:space="preserve">0 / +1,255</t>
  </si>
  <si>
    <t xml:space="preserve">Yes (4 GB RAM)</t>
  </si>
  <si>
    <t xml:space="preserve">Few people at the same moment (a few dozen)</t>
  </si>
  <si>
    <t xml:space="preserve">Town hall / appraisal week, everyone opens it</t>
  </si>
  <si>
    <t xml:space="preserve">Slow-response alert; App Insights &gt; 3 s</t>
  </si>
  <si>
    <t xml:space="preserve">B1 → B2 or P0v3 (one click)</t>
  </si>
  <si>
    <t xml:space="preserve">Minutes</t>
  </si>
  <si>
    <t xml:space="preserve">+1,255 to +4,460</t>
  </si>
  <si>
    <t xml:space="preserve">Yes</t>
  </si>
  <si>
    <t xml:space="preserve">InfoSec accepts free service endpoints for Storage and Key Vault</t>
  </si>
  <si>
    <t xml:space="preserve">Policy: no public address on anything holding HR data</t>
  </si>
  <si>
    <t xml:space="preserve">IT's answer to our request</t>
  </si>
  <si>
    <t xml:space="preserve">Add 2 private endpoints + DNS (IT network change)</t>
  </si>
  <si>
    <t xml:space="preserve">Days (IT queue)</t>
  </si>
  <si>
    <t xml:space="preserve">~+1,500</t>
  </si>
  <si>
    <t xml:space="preserve">No extra security tooling is mandated</t>
  </si>
  <si>
    <t xml:space="preserve">Policy requires Defender for App Service</t>
  </si>
  <si>
    <t xml:space="preserve">IT/InfoSec review</t>
  </si>
  <si>
    <t xml:space="preserve">Turn on Defender</t>
  </si>
  <si>
    <t xml:space="preserve">~+1,394 per instance</t>
  </si>
  <si>
    <t xml:space="preserve">Monthly updates tested with a 'preview' step</t>
  </si>
  <si>
    <t xml:space="preserve">A bad file goes live before anyone notices</t>
  </si>
  <si>
    <t xml:space="preserve">Users report wrong data</t>
  </si>
  <si>
    <t xml:space="preserve">Roll back to last month's file</t>
  </si>
  <si>
    <t xml:space="preserve">&lt; 5 minutes</t>
  </si>
  <si>
    <t xml:space="preserve">0</t>
  </si>
  <si>
    <t xml:space="preserve">Yes (staging slot)</t>
  </si>
  <si>
    <t xml:space="preserve">New app versions tested locally</t>
  </si>
  <si>
    <t xml:space="preserve">A change works locally but not in Azure</t>
  </si>
  <si>
    <t xml:space="preserve">Error alert after deploy</t>
  </si>
  <si>
    <t xml:space="preserve">Redeploy previous version</t>
  </si>
  <si>
    <t xml:space="preserve">&lt; 15 minutes</t>
  </si>
  <si>
    <t xml:space="preserve">0 (or +1,950 for a test env)</t>
  </si>
  <si>
    <t xml:space="preserve">Yes (test env)</t>
  </si>
  <si>
    <t xml:space="preserve">One server instance is enough</t>
  </si>
  <si>
    <t xml:space="preserve">Azure patches/restarts the single instance at a busy moment</t>
  </si>
  <si>
    <t xml:space="preserve">Short outage alert</t>
  </si>
  <si>
    <t xml:space="preserve">Accept, or run 2 instances on Premium</t>
  </si>
  <si>
    <t xml:space="preserve">+4,460 or more</t>
  </si>
  <si>
    <t xml:space="preserve">Yes at ≤1,000</t>
  </si>
  <si>
    <t xml:space="preserve">Logs &lt; 5 GB/month, 30-day retention</t>
  </si>
  <si>
    <t xml:space="preserve">Audit asks for longer retention</t>
  </si>
  <si>
    <t xml:space="preserve">Audit request</t>
  </si>
  <si>
    <t xml:space="preserve">Switch on longer retention</t>
  </si>
  <si>
    <t xml:space="preserve">+100 to +500</t>
  </si>
  <si>
    <t xml:space="preserve">Yes (90 days)</t>
  </si>
  <si>
    <t xml:space="preserve">Within free 100 GB/month bandwidth</t>
  </si>
  <si>
    <t xml:space="preserve">Shared subscription already uses the free tier</t>
  </si>
  <si>
    <t xml:space="preserve">Monthly bill</t>
  </si>
  <si>
    <t xml:space="preserve">None needed</t>
  </si>
  <si>
    <t xml:space="preserve">+100 to +300</t>
  </si>
  <si>
    <t xml:space="preserve">Same in both</t>
  </si>
  <si>
    <t xml:space="preserve">Private endpoint price = $0.01/hr published rate</t>
  </si>
  <si>
    <t xml:space="preserve">PwC rate differs</t>
  </si>
  <si>
    <t xml:space="preserve">IT quote</t>
  </si>
  <si>
    <t xml:space="preserve">None – price only</t>
  </si>
  <si>
    <t xml:space="preserve">± small</t>
  </si>
  <si>
    <t xml:space="preserve">PwC phones can reach private endpoints (mobile VPN)</t>
  </si>
  <si>
    <t xml:space="preserve">No mobile VPN on PwC phones</t>
  </si>
  <si>
    <t xml:space="preserve">Pilot users can't open it on phones outside office</t>
  </si>
  <si>
    <t xml:space="preserve">IT picks Conditional Access or an app gateway instead</t>
  </si>
  <si>
    <t xml:space="preserve">Days (IT decision)</t>
  </si>
  <si>
    <t xml:space="preserve">0 or saves ~₹750</t>
  </si>
  <si>
    <t xml:space="preserve">Not covered by either estimate (new requirements → separate request and budget)</t>
  </si>
  <si>
    <t xml:space="preserve">• Users editing data in the app, or a live HR feed → database (Azure SQL ~₹470–1,430/month) + build effort.</t>
  </si>
  <si>
    <t xml:space="preserve">• AI chatbot inside the app → Azure OpenAI billed per question + bigger server.</t>
  </si>
  <si>
    <t xml:space="preserve">• Disaster recovery in a second region or zone-redundant setup → roughly +₹9,000–15,000/month or double.</t>
  </si>
  <si>
    <t xml:space="preserve">• PwC network costs (ExpressRoute/VPN, central DNS, firewall), internal IT chargeback, GST, developer time.</t>
  </si>
  <si>
    <t xml:space="preserve">Roadmap – what happens, who does it, and when (indicative weeks)</t>
  </si>
  <si>
    <t xml:space="preserve">Shaded cells = planned weeks. Weeks depend on IT/InfoSec turnaround. Gate = must be true before the next phase starts.</t>
  </si>
  <si>
    <t xml:space="preserve">Phase</t>
  </si>
  <si>
    <t xml:space="preserve">Workstream</t>
  </si>
  <si>
    <t xml:space="preserve">Task</t>
  </si>
  <si>
    <t xml:space="preserve">Owner</t>
  </si>
  <si>
    <t xml:space="preserve">Gate / done when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</si>
  <si>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</si>
  <si>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</si>
  <si>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</si>
  <si>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</si>
  <si>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</si>
  <si>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</si>
  <si>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</si>
  <si>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</si>
  <si>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</si>
  <si>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</si>
  <si>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</si>
  <si>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</si>
  <si>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</si>
  <si>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</si>
  <si>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Status</t>
  </si>
  <si>
    <t xml:space="preserve">0. Approvals</t>
  </si>
  <si>
    <t xml:space="preserve">Approvals</t>
  </si>
  <si>
    <t xml:space="preserve">Managers approve SAVE or SAFE estimate</t>
  </si>
  <si>
    <t xml:space="preserve">Charan → Sr managers</t>
  </si>
  <si>
    <t xml:space="preserve">Written approval</t>
  </si>
  <si>
    <t xml:space="preserve">Not started</t>
  </si>
  <si>
    <t xml:space="preserve">Send IT request + questions (IT email)</t>
  </si>
  <si>
    <t xml:space="preserve">Charan → IT</t>
  </si>
  <si>
    <t xml:space="preserve">IT quote + policy answers</t>
  </si>
  <si>
    <t xml:space="preserve">Start InfoSec / data-privacy sign-off (no home addresses)</t>
  </si>
  <si>
    <t xml:space="preserve">Charan → InfoSec</t>
  </si>
  <si>
    <t xml:space="preserve">Sign-off received</t>
  </si>
  <si>
    <t xml:space="preserve">MDs confirm access levels + Extra Competencies (Access_Rules.xlsx)</t>
  </si>
  <si>
    <t xml:space="preserve">Charan → MDs</t>
  </si>
  <si>
    <t xml:space="preserve">Access rules approved</t>
  </si>
  <si>
    <t xml:space="preserve">1. Build app</t>
  </si>
  <si>
    <t xml:space="preserve">Data</t>
  </si>
  <si>
    <t xml:space="preserve">Conversion script: master Excel → per-month data files + error report</t>
  </si>
  <si>
    <t xml:space="preserve">Our team</t>
  </si>
  <si>
    <t xml:space="preserve">1-click run, 0 errors</t>
  </si>
  <si>
    <t xml:space="preserve">Photos: one ~25 KB file per Employee ID; stop embedding in HTML</t>
  </si>
  <si>
    <t xml:space="preserve">Photo count = headcount</t>
  </si>
  <si>
    <t xml:space="preserve">App</t>
  </si>
  <si>
    <t xml:space="preserve">Split pages: desktop + mobile &lt; 1 MB, load data from API</t>
  </si>
  <si>
    <t xml:space="preserve">No employee data in page files</t>
  </si>
  <si>
    <t xml:space="preserve">Server API + role filter (L1–L4, exceptions) on every route</t>
  </si>
  <si>
    <t xml:space="preserve">Test user of each level sees exactly the right data</t>
  </si>
  <si>
    <t xml:space="preserve">Month-on-demand loading (last 3 months default)</t>
  </si>
  <si>
    <t xml:space="preserve">MD default load ≈ 1 MB</t>
  </si>
  <si>
    <t xml:space="preserve">2. Azure setup</t>
  </si>
  <si>
    <t xml:space="preserve">Azure</t>
  </si>
  <si>
    <t xml:space="preserve">Resource group, VNet, storage, Key Vault, App Service (see 'Azure Build Steps')</t>
  </si>
  <si>
    <t xml:space="preserve">IT + Our team</t>
  </si>
  <si>
    <t xml:space="preserve">Resources created</t>
  </si>
  <si>
    <t xml:space="preserve">Private endpoint(s), DNS, PwC sign-in, groups</t>
  </si>
  <si>
    <t xml:space="preserve">IT (Network, Entra)</t>
  </si>
  <si>
    <t xml:space="preserve">Opens only on PwC network; forces login</t>
  </si>
  <si>
    <t xml:space="preserve">Monitoring, alerts, budget, deployment pipeline</t>
  </si>
  <si>
    <t xml:space="preserve">Test alert received; 1-click deploy</t>
  </si>
  <si>
    <t xml:space="preserve">3. Pilot</t>
  </si>
  <si>
    <t xml:space="preserve">Pilot</t>
  </si>
  <si>
    <t xml:space="preserve">Deploy, load data, ~20 pilot users across all levels, 2 monthly refreshes</t>
  </si>
  <si>
    <t xml:space="preserve">Our team + pilot users</t>
  </si>
  <si>
    <t xml:space="preserve">MD sign-off; pages &lt; 3 s; no Sev-1</t>
  </si>
  <si>
    <t xml:space="preserve">4. Up to 200</t>
  </si>
  <si>
    <t xml:space="preserve">Rollout</t>
  </si>
  <si>
    <t xml:space="preserve">Widen access; hand over monthly runbook</t>
  </si>
  <si>
    <t xml:space="preserve">Charan / Our team</t>
  </si>
  <si>
    <t xml:space="preserve">Refresh done without developer help</t>
  </si>
  <si>
    <t xml:space="preserve">5. Up to 1,000</t>
  </si>
  <si>
    <t xml:space="preserve">Capacity check, Teams tab (optional), security review, launch</t>
  </si>
  <si>
    <t xml:space="preserve">Our team / IT Security</t>
  </si>
  <si>
    <t xml:space="preserve">Security sign-off; launch mail</t>
  </si>
  <si>
    <t xml:space="preserve">Ongoing</t>
  </si>
  <si>
    <t xml:space="preserve">Run</t>
  </si>
  <si>
    <t xml:space="preserve">Monthly update (see 'Monthly Ops')</t>
  </si>
  <si>
    <t xml:space="preserve">Live within 5 working days of month-end</t>
  </si>
  <si>
    <t xml:space="preserve">What we need to build (dashboard team) – ready before Azure goes live</t>
  </si>
  <si>
    <t xml:space="preserve">Python, same as today's build scripts. Both estimates use exactly this build.</t>
  </si>
  <si>
    <t xml:space="preserve">Component</t>
  </si>
  <si>
    <t xml:space="preserve">What it must do</t>
  </si>
  <si>
    <t xml:space="preserve">Details / decisions</t>
  </si>
  <si>
    <t xml:space="preserve">Done when</t>
  </si>
  <si>
    <t xml:space="preserve">Conversion script</t>
  </si>
  <si>
    <t xml:space="preserve">Turn the monthly master Excel into data files the app reads</t>
  </si>
  <si>
    <t xml:space="preserve">Outputs: people.json (profile, role, manager email, competency), skills.json, util_YYYY-MM.json (one per month), rates.json, access_rules.json (from Access_Rules.xlsx). Validates: missing/duplicate emails, managers not found, circular reporting lines, row count vs last month</t>
  </si>
  <si>
    <t xml:space="preserve">Runs in one click; error report empty</t>
  </si>
  <si>
    <t xml:space="preserve">Photo pipeline</t>
  </si>
  <si>
    <t xml:space="preserve">One photo per person, small</t>
  </si>
  <si>
    <t xml:space="preserve">Resize to ~25 KB (WebP or JPEG), file name = Employee ID; list of people without photo</t>
  </si>
  <si>
    <t xml:space="preserve">Page shells (desktop + mobile)</t>
  </si>
  <si>
    <t xml:space="preserve">Same look and tabs as today, no data inside</t>
  </si>
  <si>
    <t xml:space="preserve">Remove embedded data/photos from templates; fetch from API; lazy-load photos; Month filter requests extra months on demand; detect mobile vs desktop</t>
  </si>
  <si>
    <t xml:space="preserve">Each page &lt; 1 MB; works on phone</t>
  </si>
  <si>
    <t xml:space="preserve">Server app (API)</t>
  </si>
  <si>
    <t xml:space="preserve">Small web app on App Service</t>
  </si>
  <si>
    <t xml:space="preserve">Routes: /api/me (who am I + level), /api/people, /api/skills, /api/utilization?months=, /api/rates, /photo/&lt;id&gt;, /api/export (if CSV export kept). Reads files from Blob via managed identity; caches in memory; reloads when a new month is published</t>
  </si>
  <si>
    <t xml:space="preserve">All routes respond &lt; 1 s</t>
  </si>
  <si>
    <t xml:space="preserve">Identity</t>
  </si>
  <si>
    <t xml:space="preserve">Know who is signed in</t>
  </si>
  <si>
    <t xml:space="preserve">Read the signed-in user's email from App Service authentication header (X-MS-CLIENT-PRINCIPAL); read group membership for AllAccess / RateViewer</t>
  </si>
  <si>
    <t xml:space="preserve">Unknown email → 'No access' page</t>
  </si>
  <si>
    <t xml:space="preserve">Role filter</t>
  </si>
  <si>
    <t xml:space="preserve">Send only allowed rows and columns</t>
  </si>
  <si>
    <t xml:space="preserve">Level from Role default + User Overrides; scope = self / reporting tree / own + extra competencies / all; field groups G0–G6 from Access_Rules; default-deny for unknown columns; gender as totals only where set</t>
  </si>
  <si>
    <t xml:space="preserve">Test matrix passes (next row)</t>
  </si>
  <si>
    <t xml:space="preserve">Access test matrix</t>
  </si>
  <si>
    <t xml:space="preserve">Prove nobody sees too much</t>
  </si>
  <si>
    <t xml:space="preserve">At least one test user per level (L1–L4) + an override + an extra-competency Director + an unknown email; check every route incl. photos and export</t>
  </si>
  <si>
    <t xml:space="preserve">All checks pass; MD signs off</t>
  </si>
  <si>
    <t xml:space="preserve">Preview / publish switch (SAVE) or slot swap (SAFE)</t>
  </si>
  <si>
    <t xml:space="preserve">Safe monthly go-live</t>
  </si>
  <si>
    <t xml:space="preserve">SAVE: app setting ACTIVE_MONTH_SET=preview|live, admin-only preview link. SAFE: deploy data to staging slot, swap</t>
  </si>
  <si>
    <t xml:space="preserve">Rollback tested (&lt; 5 min)</t>
  </si>
  <si>
    <t xml:space="preserve">Logging</t>
  </si>
  <si>
    <t xml:space="preserve">Audit and troubleshooting</t>
  </si>
  <si>
    <t xml:space="preserve">Log user, time, level, route, records returned (no personal data values) to Application Insights</t>
  </si>
  <si>
    <t xml:space="preserve">Logs visible; no data values in logs</t>
  </si>
  <si>
    <t xml:space="preserve">Deployment pipeline</t>
  </si>
  <si>
    <t xml:space="preserve">Same steps every time</t>
  </si>
  <si>
    <t xml:space="preserve">GitHub Actions or Azure DevOps (whichever PwC licenses): build → deploy (SAFE: to staging) → health check</t>
  </si>
  <si>
    <t xml:space="preserve">1-click deploy works</t>
  </si>
  <si>
    <t xml:space="preserve">Runbook</t>
  </si>
  <si>
    <t xml:space="preserve">Anyone on the team can do the monthly update</t>
  </si>
  <si>
    <t xml:space="preserve">Short document: steps, where files go, how to roll back, who to call</t>
  </si>
  <si>
    <t xml:space="preserve">A refresh done by someone other than the developer</t>
  </si>
  <si>
    <t xml:space="preserve">Building it in Azure – step by step, with exact settings</t>
  </si>
  <si>
    <t xml:space="preserve">Do in this order. 'SAFE adds' shows the extra step for the Safe estimate. Owner: IT = PwC IT/Cloud team; Team = dashboard team.</t>
  </si>
  <si>
    <t xml:space="preserve">Step</t>
  </si>
  <si>
    <t xml:space="preserve">Exact settings</t>
  </si>
  <si>
    <t xml:space="preserve">SAFE adds</t>
  </si>
  <si>
    <t xml:space="preserve">Check it worked</t>
  </si>
  <si>
    <t xml:space="preserve">Subscription + resource group</t>
  </si>
  <si>
    <t xml:space="preserve">Region Central India; name e.g. rg-deals-dashboard-prod; tags: owner, cost centre, data class = HR/Confidential</t>
  </si>
  <si>
    <t xml:space="preserve">rg-deals-dashboard-test for the test environment</t>
  </si>
  <si>
    <t xml:space="preserve">IT</t>
  </si>
  <si>
    <t xml:space="preserve">Team has Contributor on the RG</t>
  </si>
  <si>
    <t xml:space="preserve">Virtual network</t>
  </si>
  <si>
    <t xml:space="preserve">1 VNet (e.g. /24); subnet A for private endpoints (/27); subnet B for App Service VNet integration (/26, delegated to Microsoft.Web/serverFarms); NSG on both</t>
  </si>
  <si>
    <t xml:space="preserve">Room for test app integration subnet (/26)</t>
  </si>
  <si>
    <t xml:space="preserve">IT (Network)</t>
  </si>
  <si>
    <t xml:space="preserve">VNet + subnets visible</t>
  </si>
  <si>
    <t xml:space="preserve">Storage account</t>
  </si>
  <si>
    <t xml:space="preserve">StorageV2, Standard, LRS, Hot; public blob access OFF; minimum TLS 1.2; containers: data, photos, config; blob versioning + soft delete (14 days); network: allow only subnet B (service endpoint)</t>
  </si>
  <si>
    <t xml:space="preserve">Private endpoint for blob in subnet A; public network access OFF</t>
  </si>
  <si>
    <t xml:space="preserve">Team (+IT for network)</t>
  </si>
  <si>
    <t xml:space="preserve">Anonymous URL returns error</t>
  </si>
  <si>
    <t xml:space="preserve">Key Vault</t>
  </si>
  <si>
    <t xml:space="preserve">Standard; RBAC permission model; soft delete + purge protection; network: allow only subnet B</t>
  </si>
  <si>
    <t xml:space="preserve">Private endpoint for vault in subnet A</t>
  </si>
  <si>
    <t xml:space="preserve">Team (+IT)</t>
  </si>
  <si>
    <t xml:space="preserve">Vault created</t>
  </si>
  <si>
    <t xml:space="preserve">App Service plan + Web App</t>
  </si>
  <si>
    <t xml:space="preserve">Linux; SAVE: plan B1, 1 instance. Runtime Python 3.x; HTTPS only; minimum TLS 1.2; FTP off; Always On ON; compression ON; system-assigned managed identity ON; VNet integration → subnet B</t>
  </si>
  <si>
    <t xml:space="preserve">Plan P0v3; staging slot 'staging'; autoscale min 1 / max 2 (≤1,000: min 2); test Web App on its own B1 plan</t>
  </si>
  <si>
    <t xml:space="preserve">Team</t>
  </si>
  <si>
    <t xml:space="preserve">Default page loads (inside PwC network)</t>
  </si>
  <si>
    <t xml:space="preserve">Private endpoint for the Web App</t>
  </si>
  <si>
    <t xml:space="preserve">Private endpoint in subnet A for the Web App (sites); public network access OFF; DNS zone privatelink.azurewebsites.net linked to VNet or PwC central DNS</t>
  </si>
  <si>
    <t xml:space="preserve">Same for the test Web App</t>
  </si>
  <si>
    <t xml:space="preserve">Opens on PwC network/VPN; blocked outside</t>
  </si>
  <si>
    <t xml:space="preserve">Permissions for the app</t>
  </si>
  <si>
    <t xml:space="preserve">Managed identity → 'Storage Blob Data Reader' on the storage account; 'Key Vault Secrets User' on the vault</t>
  </si>
  <si>
    <t xml:space="preserve">Same for test app (test data only)</t>
  </si>
  <si>
    <t xml:space="preserve">App reads a file with no keys in code</t>
  </si>
  <si>
    <t xml:space="preserve">PwC sign-in</t>
  </si>
  <si>
    <t xml:space="preserve">Entra ID app registration (single tenant); App Service Authentication → Microsoft provider → 'Require authentication'; redirect URI /.auth/login/aad/callback; groups Dashboard.AllAccess and Dashboard.RateViewer; include group claims</t>
  </si>
  <si>
    <t xml:space="preserve">Same registration pattern for test app</t>
  </si>
  <si>
    <t xml:space="preserve">IT (Entra admin)</t>
  </si>
  <si>
    <t xml:space="preserve">Opening the link forces PwC login; groups visible to app</t>
  </si>
  <si>
    <t xml:space="preserve">Mobile access decision</t>
  </si>
  <si>
    <t xml:space="preserve">Based on IT's answer: mobile VPN (keep private endpoint) or Conditional Access requiring MFA + PwC-managed device</t>
  </si>
  <si>
    <t xml:space="preserve">MD can open it on a PwC phone outside the office</t>
  </si>
  <si>
    <t xml:space="preserve">Monitoring</t>
  </si>
  <si>
    <t xml:space="preserve">Log Analytics workspace (30-day retention); Application Insights (workspace-based) connected to the Web App; diagnostic settings for App Service and storage</t>
  </si>
  <si>
    <t xml:space="preserve">Retention 90 days; Defender for App Service ON</t>
  </si>
  <si>
    <t xml:space="preserve">Requests visible in App Insights</t>
  </si>
  <si>
    <t xml:space="preserve">Alerts</t>
  </si>
  <si>
    <t xml:space="preserve">Metric alerts: HTTP 5xx &gt; threshold, response time &gt; 3 s, CPU &gt; 80%, memory &gt; 80%; log alert: monthly upload failed; action group → team email</t>
  </si>
  <si>
    <t xml:space="preserve">+ unusual access pattern alert; availability alerts on staging</t>
  </si>
  <si>
    <t xml:space="preserve">Test alert email received</t>
  </si>
  <si>
    <t xml:space="preserve">Cost guardrail</t>
  </si>
  <si>
    <t xml:space="preserve">Cost Management budget = estimate + 25%, alert at 80% and 100% to team + IT</t>
  </si>
  <si>
    <t xml:space="preserve">Budget visible</t>
  </si>
  <si>
    <t xml:space="preserve">Service connection to the RG; pipeline: build → deploy → health check</t>
  </si>
  <si>
    <t xml:space="preserve">Deploy to staging slot → check → swap</t>
  </si>
  <si>
    <t xml:space="preserve">Load data + first deploy</t>
  </si>
  <si>
    <t xml:space="preserve">Upload data/, photos/, config/ (Access_Rules) to storage; deploy app</t>
  </si>
  <si>
    <t xml:space="preserve">Load to test env first, then staging, then swap</t>
  </si>
  <si>
    <t xml:space="preserve">Dashboard shows current month for a test user</t>
  </si>
  <si>
    <t xml:space="preserve">Security sign-off</t>
  </si>
  <si>
    <t xml:space="preserve">Share this sheet + architecture with IT Security; fix findings</t>
  </si>
  <si>
    <t xml:space="preserve">Defender recommendations reviewed</t>
  </si>
  <si>
    <t xml:space="preserve">IT Security</t>
  </si>
  <si>
    <t xml:space="preserve">Every month – within 5 working days of month-end</t>
  </si>
  <si>
    <t xml:space="preserve">Same in both estimates except how the new month is tested and published.</t>
  </si>
  <si>
    <t xml:space="preserve">What to do</t>
  </si>
  <si>
    <t xml:space="preserve">SAVE</t>
  </si>
  <si>
    <t xml:space="preserve">SAFE</t>
  </si>
  <si>
    <t xml:space="preserve">Collect extracts</t>
  </si>
  <si>
    <t xml:space="preserve">Utilization, skills, bio, joiners/leavers/transfers</t>
  </si>
  <si>
    <t xml:space="preserve">All received</t>
  </si>
  <si>
    <t xml:space="preserve">Update master Excel</t>
  </si>
  <si>
    <t xml:space="preserve">Add joiners (email + RL Manager Email), remove leavers, update manager changes</t>
  </si>
  <si>
    <t xml:space="preserve">Headcount matches HR list</t>
  </si>
  <si>
    <t xml:space="preserve">Update photos</t>
  </si>
  <si>
    <t xml:space="preserve">Add joiners' photos, remove leavers'</t>
  </si>
  <si>
    <t xml:space="preserve">Run conversion script</t>
  </si>
  <si>
    <t xml:space="preserve">Creates this month's data file; fix anything the error report flags</t>
  </si>
  <si>
    <t xml:space="preserve">0 errors</t>
  </si>
  <si>
    <t xml:space="preserve">Upload</t>
  </si>
  <si>
    <t xml:space="preserve">Upload new month file + photos</t>
  </si>
  <si>
    <t xml:space="preserve">Upload as 'preview'</t>
  </si>
  <si>
    <t xml:space="preserve">Upload to staging slot</t>
  </si>
  <si>
    <t xml:space="preserve">File in storage</t>
  </si>
  <si>
    <t xml:space="preserve">Check</t>
  </si>
  <si>
    <t xml:space="preserve">Open as test MD, Manager and SA; check counts, new month, photos</t>
  </si>
  <si>
    <t xml:space="preserve">Admin preview link</t>
  </si>
  <si>
    <t xml:space="preserve">Staging URL</t>
  </si>
  <si>
    <t xml:space="preserve">Each level correct</t>
  </si>
  <si>
    <t xml:space="preserve">Publish</t>
  </si>
  <si>
    <t xml:space="preserve">Make it live</t>
  </si>
  <si>
    <t xml:space="preserve">Switch preview → live</t>
  </si>
  <si>
    <t xml:space="preserve">Swap staging → live</t>
  </si>
  <si>
    <t xml:space="preserve">Live site shows new month</t>
  </si>
  <si>
    <t xml:space="preserve">Archive</t>
  </si>
  <si>
    <t xml:space="preserve">Months older than 24 move to archive folder (not loaded)</t>
  </si>
  <si>
    <t xml:space="preserve">Data online ≤ 24 months</t>
  </si>
  <si>
    <t xml:space="preserve">Announce + review</t>
  </si>
  <si>
    <t xml:space="preserve">Short note; check errors, usage, access log, cost vs budget</t>
  </si>
  <si>
    <t xml:space="preserve">No open issues</t>
  </si>
  <si>
    <t xml:space="preserve">Rollback (if needed)</t>
  </si>
  <si>
    <t xml:space="preserve">Return to last month</t>
  </si>
  <si>
    <t xml:space="preserve">Switch back to last file</t>
  </si>
  <si>
    <t xml:space="preserve">Swap slot back</t>
  </si>
  <si>
    <t xml:space="preserve">Access changes (as needed)</t>
  </si>
  <si>
    <t xml:space="preserve">New MD/Director → IT updates Entra group; exceptions → Access_Rules.xlsx with approval + expiry</t>
  </si>
  <si>
    <t xml:space="preserve">Effective at next sign-in</t>
  </si>
  <si>
    <t xml:space="preserve">Open questions for IT – answers decide the final cost and design</t>
  </si>
  <si>
    <t xml:space="preserve">Send with the IT email. Fill the answer column as replies come in.</t>
  </si>
  <si>
    <t xml:space="preserve">Question for IT</t>
  </si>
  <si>
    <t xml:space="preserve">Cost / design impact</t>
  </si>
  <si>
    <t xml:space="preserve">IT answer</t>
  </si>
  <si>
    <t xml:space="preserve">What is PwC's discounted price per line (or overall discount %)?</t>
  </si>
  <si>
    <t xml:space="preserve">Turns list price into actual cost</t>
  </si>
  <si>
    <t xml:space="preserve">Updates every total</t>
  </si>
  <si>
    <t xml:space="preserve">Are service endpoints acceptable for Storage and Key Vault, or are private endpoints mandatory?</t>
  </si>
  <si>
    <t xml:space="preserve">Biggest open cost item</t>
  </si>
  <si>
    <t xml:space="preserve">+~₹1,500/month if mandatory (already in SAFE)</t>
  </si>
  <si>
    <t xml:space="preserve">Can we use PwC's central private DNS zones?</t>
  </si>
  <si>
    <t xml:space="preserve">Avoids creating our own zones</t>
  </si>
  <si>
    <t xml:space="preserve">Saves ₹48–143/month</t>
  </si>
  <si>
    <t xml:space="preserve">Do PwC mobiles have VPN/tunnel access to private endpoints? If not, what is the standard for internal apps on phones (Conditional Access / app gateway)?</t>
  </si>
  <si>
    <t xml:space="preserve">MDs need it on phones outside office</t>
  </si>
  <si>
    <t xml:space="preserve">May replace the private endpoint (saves ~₹750/month) or add none</t>
  </si>
  <si>
    <t xml:space="preserve">Is Defender for App Service (or any other tool) mandatory?</t>
  </si>
  <si>
    <t xml:space="preserve">Policy item</t>
  </si>
  <si>
    <t xml:space="preserve">+₹1,394/month per instance (in SAFE)</t>
  </si>
  <si>
    <t xml:space="preserve">Is a separate test/dev environment required?</t>
  </si>
  <si>
    <t xml:space="preserve">+~₹1,950/month (in SAFE)</t>
  </si>
  <si>
    <t xml:space="preserve">Which subscription will this sit in, and is its free 100 GB/month bandwidth already used?</t>
  </si>
  <si>
    <t xml:space="preserve">Bandwidth charges</t>
  </si>
  <si>
    <t xml:space="preserve">+₹100–300/month at most</t>
  </si>
  <si>
    <t xml:space="preserve">Do we get Contributor on the resource group, and who creates the network pieces?</t>
  </si>
  <si>
    <t xml:space="preserve">Who does which step</t>
  </si>
  <si>
    <t xml:space="preserve">Timeline</t>
  </si>
  <si>
    <t xml:space="preserve">Which CI/CD tool is licensed (GitHub Actions / Azure DevOps)?</t>
  </si>
  <si>
    <t xml:space="preserve">None</t>
  </si>
  <si>
    <t xml:space="preserve">Any naming, tagging, region or data-classification standards for HR data?</t>
  </si>
  <si>
    <t xml:space="preserve">Compliance</t>
  </si>
  <si>
    <t xml:space="preserve">Discounted price of P0v3 Linux, pay-as-you-go and 1-year reserved?</t>
  </si>
  <si>
    <t xml:space="preserve">SAFE estimate and scale-up option</t>
  </si>
  <si>
    <t xml:space="preserve">Could cut SAFE server cost ~35%</t>
  </si>
  <si>
    <t xml:space="preserve">Expected lead time for resource creation and InfoSec review?</t>
  </si>
  <si>
    <t xml:space="preserve">Roadmap dates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</si>
</sst>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₹#,##0;&quot;(₹&quot;#,##0\);\-"/>
    <numFmt numFmtId="166" formatCode="0.00"/>
    <numFmt numFmtId="167" formatCode="0.0%"/>
    <numFmt numFmtId="168" formatCode="0"/>
    <numFmt numFmtId="169" formatCode="#,##0"/>
    <numFmt numFmtId="170" formatCode="0.0"/>
    <numFmt numFmtId="171" formatCode="\$#,##0.0000;&quot;($&quot;#,##0.0000\);\-"/>
    <numFmt numFmtId="172" formatCode="#,##0.0"/>
    <numFmt numFmtId="173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04A02"/>
        <bgColor rgb="FF993300"/>
      </patternFill>
    </fill>
    <fill>
      <patternFill patternType="solid">
        <fgColor rgb="FFE3F1E4"/>
        <bgColor rgb="FFE2EEF6"/>
      </patternFill>
    </fill>
    <fill>
      <patternFill patternType="solid">
        <fgColor rgb="FFE2EEF6"/>
        <bgColor rgb="FFE3F1E4"/>
      </patternFill>
    </fill>
    <fill>
      <patternFill patternType="solid">
        <fgColor rgb="FFFBE3D6"/>
        <bgColor rgb="FFE3F1E4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008000"/>
      </patternFill>
    </fill>
    <fill>
      <patternFill patternType="solid">
        <fgColor rgb="FF1F5F8B"/>
        <bgColor rgb="FF008080"/>
      </patternFill>
    </fill>
    <fill>
      <patternFill patternType="solid">
        <fgColor rgb="FFBDBDBD"/>
        <bgColor rgb="FFBFBFBF"/>
      </patternFill>
    </fill>
    <fill>
      <patternFill patternType="solid">
        <fgColor rgb="FFF4B183"/>
        <bgColor rgb="FFFF99CC"/>
      </patternFill>
    </fill>
    <fill>
      <patternFill patternType="solid">
        <fgColor rgb="FF9DC3E6"/>
        <bgColor rgb="FFBDBDBD"/>
      </patternFill>
    </fill>
    <fill>
      <patternFill patternType="solid">
        <fgColor rgb="FFA9D18E"/>
        <bgColor rgb="FFBDBDBD"/>
      </patternFill>
    </fill>
    <fill>
      <patternFill patternType="solid">
        <fgColor rgb="FFD9D9D9"/>
        <bgColor rgb="FFE2EE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3D6"/>
      <rgbColor rgb="FFE2EEF6"/>
      <rgbColor rgb="FF660066"/>
      <rgbColor rgb="FFFF8080"/>
      <rgbColor rgb="FF1F5F8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1E4"/>
      <rgbColor rgb="FFFFFF99"/>
      <rgbColor rgb="FF9DC3E6"/>
      <rgbColor rgb="FFFF99CC"/>
      <rgbColor rgb="FFBDBDBD"/>
      <rgbColor rgb="FFF4B183"/>
      <rgbColor rgb="FF3366FF"/>
      <rgbColor rgb="FF33CCCC"/>
      <rgbColor rgb="FF99CC00"/>
      <rgbColor rgb="FFFFCC00"/>
      <rgbColor rgb="FFFF9900"/>
      <rgbColor rgb="FFD04A02"/>
      <rgbColor rgb="FF595959"/>
      <rgbColor rgb="FFA9D18E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40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true" outlineLevel="0" collapsed="false">
      <c r="B5" s="4" t="s">
        <v>3</v>
      </c>
      <c r="C5" s="4"/>
      <c r="D5" s="4"/>
      <c r="E5" s="4" t="s">
        <v>4</v>
      </c>
      <c r="F5" s="4" t="s">
        <v>5</v>
      </c>
      <c r="G5" s="4" t="s">
        <v>6</v>
      </c>
    </row>
    <row r="6" customFormat="false" ht="15" hidden="false" customHeight="true" outlineLevel="0" collapsed="false">
      <c r="B6" s="5" t="s">
        <v>7</v>
      </c>
      <c r="C6" s="5"/>
      <c r="D6" s="5"/>
      <c r="E6" s="6" t="n">
        <f aca="false">'Resources &amp; Pricing'!L57</f>
        <v>2060.20702578125</v>
      </c>
      <c r="F6" s="6" t="n">
        <f aca="false">'Resources &amp; Pricing'!M57</f>
        <v>2068.185603125</v>
      </c>
      <c r="G6" s="6" t="n">
        <f aca="false">'Resources &amp; Pricing'!N57</f>
        <v>2110.738015625</v>
      </c>
    </row>
    <row r="7" customFormat="false" ht="15" hidden="false" customHeight="true" outlineLevel="0" collapsed="false">
      <c r="B7" s="7" t="s">
        <v>8</v>
      </c>
      <c r="C7" s="7"/>
      <c r="D7" s="7"/>
      <c r="E7" s="8" t="n">
        <f aca="false">E6*12</f>
        <v>24722.484309375</v>
      </c>
      <c r="F7" s="8" t="n">
        <f aca="false">F6*12</f>
        <v>24818.2272375</v>
      </c>
      <c r="G7" s="8" t="n">
        <f aca="false">G6*12</f>
        <v>25328.8561875</v>
      </c>
    </row>
    <row r="8" customFormat="false" ht="15" hidden="false" customHeight="true" outlineLevel="0" collapsed="false">
      <c r="B8" s="7" t="s">
        <v>9</v>
      </c>
      <c r="C8" s="7"/>
      <c r="D8" s="7"/>
      <c r="E8" s="8" t="n">
        <f aca="false">E6/'Resources &amp; Pricing'!F10</f>
        <v>41.204140515625</v>
      </c>
      <c r="F8" s="8" t="n">
        <f aca="false">F6/'Resources &amp; Pricing'!G10</f>
        <v>10.340928015625</v>
      </c>
      <c r="G8" s="8" t="n">
        <f aca="false">G6/'Resources &amp; Pricing'!H10</f>
        <v>2.110738015625</v>
      </c>
    </row>
    <row r="9" customFormat="false" ht="15" hidden="false" customHeight="true" outlineLevel="0" collapsed="false">
      <c r="B9" s="9" t="s">
        <v>10</v>
      </c>
      <c r="C9" s="9"/>
      <c r="D9" s="9"/>
      <c r="E9" s="10" t="n">
        <f aca="false">'Resources &amp; Pricing'!O57</f>
        <v>11424.1819192188</v>
      </c>
      <c r="F9" s="10" t="n">
        <f aca="false">'Resources &amp; Pricing'!P57</f>
        <v>11451.382676875</v>
      </c>
      <c r="G9" s="10" t="n">
        <f aca="false">'Resources &amp; Pricing'!Q57</f>
        <v>18707.383384375</v>
      </c>
    </row>
    <row r="10" customFormat="false" ht="15" hidden="false" customHeight="true" outlineLevel="0" collapsed="false">
      <c r="B10" s="7" t="s">
        <v>8</v>
      </c>
      <c r="C10" s="7"/>
      <c r="D10" s="7"/>
      <c r="E10" s="8" t="n">
        <f aca="false">E9*12</f>
        <v>137090.183030625</v>
      </c>
      <c r="F10" s="8" t="n">
        <f aca="false">F9*12</f>
        <v>137416.5921225</v>
      </c>
      <c r="G10" s="8" t="n">
        <f aca="false">G9*12</f>
        <v>224488.6006125</v>
      </c>
    </row>
    <row r="11" customFormat="false" ht="15" hidden="false" customHeight="true" outlineLevel="0" collapsed="false">
      <c r="B11" s="7" t="s">
        <v>9</v>
      </c>
      <c r="C11" s="7"/>
      <c r="D11" s="7"/>
      <c r="E11" s="8" t="n">
        <f aca="false">E9/'Resources &amp; Pricing'!F10</f>
        <v>228.483638384375</v>
      </c>
      <c r="F11" s="8" t="n">
        <f aca="false">F9/'Resources &amp; Pricing'!G10</f>
        <v>57.256913384375</v>
      </c>
      <c r="G11" s="8" t="n">
        <f aca="false">G9/'Resources &amp; Pricing'!H10</f>
        <v>18.707383384375</v>
      </c>
    </row>
    <row r="12" customFormat="false" ht="15" hidden="false" customHeight="true" outlineLevel="0" collapsed="false">
      <c r="B12" s="11" t="s">
        <v>11</v>
      </c>
      <c r="C12" s="11"/>
      <c r="D12" s="11"/>
      <c r="E12" s="12" t="n">
        <f aca="false">E9-E6</f>
        <v>9363.9748934375</v>
      </c>
      <c r="F12" s="12" t="n">
        <f aca="false">F9-F6</f>
        <v>9383.19707375</v>
      </c>
      <c r="G12" s="12" t="n">
        <f aca="false">G9-G6</f>
        <v>16596.64536875</v>
      </c>
    </row>
    <row r="13" customFormat="false" ht="15" hidden="false" customHeight="true" outlineLevel="0" collapsed="false">
      <c r="B13" s="11" t="s">
        <v>12</v>
      </c>
      <c r="C13" s="11"/>
      <c r="D13" s="11"/>
      <c r="E13" s="12" t="n">
        <f aca="false">E12*12</f>
        <v>112367.69872125</v>
      </c>
      <c r="F13" s="12" t="n">
        <f aca="false">F12*12</f>
        <v>112598.364885</v>
      </c>
      <c r="G13" s="12" t="n">
        <f aca="false">G12*12</f>
        <v>199159.744425</v>
      </c>
    </row>
    <row r="14" customFormat="false" ht="25.5" hidden="false" customHeight="true" outlineLevel="0" collapsed="false">
      <c r="B14" s="13" t="s">
        <v>13</v>
      </c>
      <c r="C14" s="13"/>
      <c r="D14" s="13"/>
      <c r="E14" s="13"/>
      <c r="F14" s="13"/>
      <c r="G14" s="13"/>
    </row>
    <row r="16" customFormat="false" ht="15" hidden="false" customHeight="false" outlineLevel="0" collapsed="false">
      <c r="B16" s="3" t="s">
        <v>14</v>
      </c>
    </row>
    <row r="17" customFormat="false" ht="15" hidden="false" customHeight="false" outlineLevel="0" collapsed="false">
      <c r="B17" s="4" t="s">
        <v>15</v>
      </c>
      <c r="C17" s="4" t="s">
        <v>16</v>
      </c>
      <c r="D17" s="4" t="s">
        <v>17</v>
      </c>
      <c r="E17" s="4" t="s">
        <v>18</v>
      </c>
    </row>
    <row r="18" customFormat="false" ht="42" hidden="false" customHeight="true" outlineLevel="0" collapsed="false">
      <c r="B18" s="14" t="s">
        <v>19</v>
      </c>
      <c r="C18" s="15" t="s">
        <v>20</v>
      </c>
      <c r="D18" s="16" t="s">
        <v>21</v>
      </c>
      <c r="E18" s="7" t="s">
        <v>22</v>
      </c>
    </row>
    <row r="19" customFormat="false" ht="42" hidden="false" customHeight="true" outlineLevel="0" collapsed="false">
      <c r="B19" s="14" t="s">
        <v>23</v>
      </c>
      <c r="C19" s="15" t="s">
        <v>24</v>
      </c>
      <c r="D19" s="16" t="s">
        <v>25</v>
      </c>
      <c r="E19" s="7" t="s">
        <v>26</v>
      </c>
    </row>
    <row r="20" customFormat="false" ht="42" hidden="false" customHeight="true" outlineLevel="0" collapsed="false">
      <c r="B20" s="14" t="s">
        <v>27</v>
      </c>
      <c r="C20" s="15" t="s">
        <v>28</v>
      </c>
      <c r="D20" s="16" t="s">
        <v>29</v>
      </c>
      <c r="E20" s="7" t="s">
        <v>30</v>
      </c>
    </row>
    <row r="21" customFormat="false" ht="42" hidden="false" customHeight="true" outlineLevel="0" collapsed="false">
      <c r="B21" s="14" t="s">
        <v>31</v>
      </c>
      <c r="C21" s="15" t="s">
        <v>32</v>
      </c>
      <c r="D21" s="16" t="s">
        <v>33</v>
      </c>
      <c r="E21" s="7" t="s">
        <v>34</v>
      </c>
    </row>
    <row r="22" customFormat="false" ht="42" hidden="false" customHeight="true" outlineLevel="0" collapsed="false">
      <c r="B22" s="14" t="s">
        <v>35</v>
      </c>
      <c r="C22" s="15" t="s">
        <v>36</v>
      </c>
      <c r="D22" s="16" t="s">
        <v>37</v>
      </c>
      <c r="E22" s="7" t="s">
        <v>38</v>
      </c>
    </row>
    <row r="23" customFormat="false" ht="42" hidden="false" customHeight="true" outlineLevel="0" collapsed="false">
      <c r="B23" s="14" t="s">
        <v>39</v>
      </c>
      <c r="C23" s="15" t="s">
        <v>40</v>
      </c>
      <c r="D23" s="16" t="s">
        <v>41</v>
      </c>
      <c r="E23" s="7" t="s">
        <v>42</v>
      </c>
    </row>
    <row r="24" customFormat="false" ht="42" hidden="false" customHeight="true" outlineLevel="0" collapsed="false">
      <c r="B24" s="14" t="s">
        <v>43</v>
      </c>
      <c r="C24" s="15" t="s">
        <v>44</v>
      </c>
      <c r="D24" s="16" t="s">
        <v>45</v>
      </c>
      <c r="E24" s="7" t="s">
        <v>46</v>
      </c>
    </row>
    <row r="25" customFormat="false" ht="42" hidden="false" customHeight="true" outlineLevel="0" collapsed="false">
      <c r="B25" s="14" t="s">
        <v>47</v>
      </c>
      <c r="C25" s="15" t="s">
        <v>48</v>
      </c>
      <c r="D25" s="16" t="s">
        <v>48</v>
      </c>
      <c r="E25" s="7" t="s">
        <v>49</v>
      </c>
    </row>
    <row r="27" customFormat="false" ht="15" hidden="false" customHeight="false" outlineLevel="0" collapsed="false">
      <c r="B27" s="3" t="s">
        <v>50</v>
      </c>
    </row>
    <row r="28" customFormat="false" ht="30" hidden="false" customHeight="true" outlineLevel="0" collapsed="false">
      <c r="B28" s="17" t="s">
        <v>51</v>
      </c>
      <c r="C28" s="17"/>
      <c r="D28" s="17"/>
      <c r="E28" s="17"/>
      <c r="F28" s="17"/>
      <c r="G28" s="17"/>
    </row>
    <row r="29" customFormat="false" ht="30" hidden="false" customHeight="true" outlineLevel="0" collapsed="false">
      <c r="B29" s="17" t="s">
        <v>52</v>
      </c>
      <c r="C29" s="17"/>
      <c r="D29" s="17"/>
      <c r="E29" s="17"/>
      <c r="F29" s="17"/>
      <c r="G29" s="17"/>
    </row>
    <row r="30" customFormat="false" ht="30" hidden="false" customHeight="true" outlineLevel="0" collapsed="false">
      <c r="B30" s="17" t="s">
        <v>53</v>
      </c>
      <c r="C30" s="17"/>
      <c r="D30" s="17"/>
      <c r="E30" s="17"/>
      <c r="F30" s="17"/>
      <c r="G30" s="17"/>
    </row>
    <row r="31" customFormat="false" ht="30" hidden="false" customHeight="true" outlineLevel="0" collapsed="false">
      <c r="B31" s="17" t="s">
        <v>54</v>
      </c>
      <c r="C31" s="17"/>
      <c r="D31" s="17"/>
      <c r="E31" s="17"/>
      <c r="F31" s="17"/>
      <c r="G31" s="17"/>
    </row>
    <row r="32" customFormat="false" ht="30" hidden="false" customHeight="true" outlineLevel="0" collapsed="false">
      <c r="B32" s="17" t="s">
        <v>55</v>
      </c>
      <c r="C32" s="17"/>
      <c r="D32" s="17"/>
      <c r="E32" s="17"/>
      <c r="F32" s="17"/>
      <c r="G32" s="17"/>
    </row>
  </sheetData>
  <mergeCells count="15"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G14"/>
    <mergeCell ref="B28:G28"/>
    <mergeCell ref="B29:G29"/>
    <mergeCell ref="B30:G30"/>
    <mergeCell ref="B31:G31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5" min="4" style="0" width="11"/>
    <col collapsed="false" customWidth="true" hidden="false" outlineLevel="0" max="17" min="6" style="0" width="10"/>
    <col collapsed="false" customWidth="true" hidden="false" outlineLevel="0" max="18" min="18" style="0" width="46"/>
    <col collapsed="false" customWidth="true" hidden="false" outlineLevel="0" max="19" min="19" style="0" width="14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B4" s="3" t="s">
        <v>58</v>
      </c>
    </row>
    <row r="5" customFormat="false" ht="15" hidden="false" customHeight="true" outlineLevel="0" collapsed="false">
      <c r="B5" s="7" t="s">
        <v>59</v>
      </c>
      <c r="C5" s="7"/>
      <c r="D5" s="7"/>
      <c r="E5" s="7"/>
      <c r="F5" s="18" t="n">
        <v>95.5</v>
      </c>
      <c r="G5" s="13" t="s">
        <v>60</v>
      </c>
      <c r="H5" s="13"/>
      <c r="I5" s="13"/>
      <c r="J5" s="13"/>
      <c r="K5" s="13"/>
      <c r="L5" s="13"/>
      <c r="M5" s="13"/>
      <c r="N5" s="13"/>
      <c r="O5" s="13"/>
      <c r="P5" s="13"/>
      <c r="Q5" s="13"/>
    </row>
    <row r="6" customFormat="false" ht="15" hidden="false" customHeight="true" outlineLevel="0" collapsed="false">
      <c r="B6" s="7" t="s">
        <v>61</v>
      </c>
      <c r="C6" s="7"/>
      <c r="D6" s="7"/>
      <c r="E6" s="7"/>
      <c r="F6" s="19" t="n">
        <v>0</v>
      </c>
      <c r="G6" s="13" t="s">
        <v>62</v>
      </c>
      <c r="H6" s="13"/>
      <c r="I6" s="13"/>
      <c r="J6" s="13"/>
      <c r="K6" s="13"/>
      <c r="L6" s="13"/>
      <c r="M6" s="13"/>
      <c r="N6" s="13"/>
      <c r="O6" s="13"/>
      <c r="P6" s="13"/>
      <c r="Q6" s="13"/>
    </row>
    <row r="7" customFormat="false" ht="15" hidden="false" customHeight="true" outlineLevel="0" collapsed="false">
      <c r="B7" s="7" t="s">
        <v>63</v>
      </c>
      <c r="C7" s="7"/>
      <c r="D7" s="7"/>
      <c r="E7" s="7"/>
      <c r="F7" s="20" t="n">
        <v>730</v>
      </c>
      <c r="G7" s="13" t="s">
        <v>64</v>
      </c>
      <c r="H7" s="13"/>
      <c r="I7" s="13"/>
      <c r="J7" s="13"/>
      <c r="K7" s="13"/>
      <c r="L7" s="13"/>
      <c r="M7" s="13"/>
      <c r="N7" s="13"/>
      <c r="O7" s="13"/>
      <c r="P7" s="13"/>
      <c r="Q7" s="13"/>
    </row>
    <row r="9" customFormat="false" ht="23.85" hidden="false" customHeight="true" outlineLevel="0" collapsed="false">
      <c r="B9" s="3" t="s">
        <v>65</v>
      </c>
      <c r="F9" s="4" t="s">
        <v>4</v>
      </c>
      <c r="G9" s="4" t="s">
        <v>5</v>
      </c>
      <c r="H9" s="4" t="s">
        <v>6</v>
      </c>
      <c r="I9" s="13" t="s">
        <v>66</v>
      </c>
      <c r="J9" s="13"/>
      <c r="K9" s="13"/>
      <c r="L9" s="13"/>
      <c r="M9" s="13"/>
      <c r="N9" s="13"/>
      <c r="O9" s="13"/>
      <c r="P9" s="13"/>
      <c r="Q9" s="13"/>
    </row>
    <row r="10" customFormat="false" ht="15" hidden="false" customHeight="true" outlineLevel="0" collapsed="false">
      <c r="B10" s="7" t="s">
        <v>67</v>
      </c>
      <c r="C10" s="7"/>
      <c r="D10" s="7"/>
      <c r="E10" s="7"/>
      <c r="F10" s="21" t="n">
        <v>50</v>
      </c>
      <c r="G10" s="21" t="n">
        <v>200</v>
      </c>
      <c r="H10" s="21" t="n">
        <v>1000</v>
      </c>
      <c r="I10" s="13" t="s">
        <v>68</v>
      </c>
      <c r="J10" s="13"/>
      <c r="K10" s="13"/>
      <c r="L10" s="13"/>
      <c r="M10" s="13"/>
      <c r="N10" s="13"/>
      <c r="O10" s="13"/>
      <c r="P10" s="13"/>
      <c r="Q10" s="13"/>
    </row>
    <row r="11" customFormat="false" ht="15" hidden="false" customHeight="true" outlineLevel="0" collapsed="false">
      <c r="B11" s="7" t="s">
        <v>69</v>
      </c>
      <c r="C11" s="7"/>
      <c r="D11" s="7"/>
      <c r="E11" s="7"/>
      <c r="F11" s="21" t="n">
        <v>10</v>
      </c>
      <c r="G11" s="21" t="n">
        <v>10</v>
      </c>
      <c r="H11" s="21" t="n">
        <v>10</v>
      </c>
      <c r="I11" s="13" t="s">
        <v>70</v>
      </c>
      <c r="J11" s="13"/>
      <c r="K11" s="13"/>
      <c r="L11" s="13"/>
      <c r="M11" s="13"/>
      <c r="N11" s="13"/>
      <c r="O11" s="13"/>
      <c r="P11" s="13"/>
      <c r="Q11" s="13"/>
    </row>
    <row r="12" customFormat="false" ht="15" hidden="false" customHeight="true" outlineLevel="0" collapsed="false">
      <c r="B12" s="7" t="s">
        <v>71</v>
      </c>
      <c r="C12" s="7"/>
      <c r="D12" s="7"/>
      <c r="E12" s="7"/>
      <c r="F12" s="22" t="n">
        <v>3</v>
      </c>
      <c r="G12" s="22" t="n">
        <v>3</v>
      </c>
      <c r="H12" s="22" t="n">
        <v>3</v>
      </c>
      <c r="I12" s="13" t="s">
        <v>72</v>
      </c>
      <c r="J12" s="13"/>
      <c r="K12" s="13"/>
      <c r="L12" s="13"/>
      <c r="M12" s="13"/>
      <c r="N12" s="13"/>
      <c r="O12" s="13"/>
      <c r="P12" s="13"/>
      <c r="Q12" s="13"/>
    </row>
    <row r="13" customFormat="false" ht="15" hidden="false" customHeight="true" outlineLevel="0" collapsed="false">
      <c r="B13" s="7" t="s">
        <v>73</v>
      </c>
      <c r="C13" s="7"/>
      <c r="D13" s="7"/>
      <c r="E13" s="7"/>
      <c r="F13" s="21" t="n">
        <v>60</v>
      </c>
      <c r="G13" s="21" t="n">
        <v>60</v>
      </c>
      <c r="H13" s="21" t="n">
        <v>60</v>
      </c>
      <c r="I13" s="13" t="s">
        <v>74</v>
      </c>
      <c r="J13" s="13"/>
      <c r="K13" s="13"/>
      <c r="L13" s="13"/>
      <c r="M13" s="13"/>
      <c r="N13" s="13"/>
      <c r="O13" s="13"/>
      <c r="P13" s="13"/>
      <c r="Q13" s="13"/>
    </row>
    <row r="14" customFormat="false" ht="15" hidden="false" customHeight="true" outlineLevel="0" collapsed="false">
      <c r="B14" s="7" t="s">
        <v>75</v>
      </c>
      <c r="C14" s="7"/>
      <c r="D14" s="7"/>
      <c r="E14" s="7"/>
      <c r="F14" s="22" t="n">
        <v>3</v>
      </c>
      <c r="G14" s="22" t="n">
        <v>3</v>
      </c>
      <c r="H14" s="22" t="n">
        <v>3</v>
      </c>
      <c r="I14" s="13" t="s">
        <v>76</v>
      </c>
      <c r="J14" s="13"/>
      <c r="K14" s="13"/>
      <c r="L14" s="13"/>
      <c r="M14" s="13"/>
      <c r="N14" s="13"/>
      <c r="O14" s="13"/>
      <c r="P14" s="13"/>
      <c r="Q14" s="13"/>
    </row>
    <row r="15" customFormat="false" ht="15" hidden="false" customHeight="true" outlineLevel="0" collapsed="false">
      <c r="B15" s="7" t="s">
        <v>77</v>
      </c>
      <c r="C15" s="7"/>
      <c r="D15" s="7"/>
      <c r="E15" s="7"/>
      <c r="F15" s="22" t="n">
        <v>6</v>
      </c>
      <c r="G15" s="22" t="n">
        <v>6</v>
      </c>
      <c r="H15" s="22" t="n">
        <v>6</v>
      </c>
      <c r="I15" s="13" t="s">
        <v>78</v>
      </c>
      <c r="J15" s="13"/>
      <c r="K15" s="13"/>
      <c r="L15" s="13"/>
      <c r="M15" s="13"/>
      <c r="N15" s="13"/>
      <c r="O15" s="13"/>
      <c r="P15" s="13"/>
      <c r="Q15" s="13"/>
    </row>
    <row r="16" customFormat="false" ht="15" hidden="false" customHeight="true" outlineLevel="0" collapsed="false">
      <c r="B16" s="7" t="s">
        <v>79</v>
      </c>
      <c r="C16" s="7"/>
      <c r="D16" s="7"/>
      <c r="E16" s="7"/>
      <c r="F16" s="20" t="n">
        <v>3</v>
      </c>
      <c r="G16" s="20" t="n">
        <v>3</v>
      </c>
      <c r="H16" s="20" t="n">
        <v>3</v>
      </c>
      <c r="I16" s="13" t="s">
        <v>80</v>
      </c>
      <c r="J16" s="13"/>
      <c r="K16" s="13"/>
      <c r="L16" s="13"/>
      <c r="M16" s="13"/>
      <c r="N16" s="13"/>
      <c r="O16" s="13"/>
      <c r="P16" s="13"/>
      <c r="Q16" s="13"/>
    </row>
    <row r="17" customFormat="false" ht="15" hidden="false" customHeight="true" outlineLevel="0" collapsed="false">
      <c r="B17" s="7" t="s">
        <v>81</v>
      </c>
      <c r="C17" s="7"/>
      <c r="D17" s="7"/>
      <c r="E17" s="7"/>
      <c r="F17" s="20" t="n">
        <v>24</v>
      </c>
      <c r="G17" s="20" t="n">
        <v>24</v>
      </c>
      <c r="H17" s="20" t="n">
        <v>24</v>
      </c>
      <c r="I17" s="13" t="s">
        <v>82</v>
      </c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B18" s="7" t="s">
        <v>83</v>
      </c>
      <c r="C18" s="7"/>
      <c r="D18" s="7"/>
      <c r="E18" s="7"/>
      <c r="F18" s="20" t="n">
        <v>25</v>
      </c>
      <c r="G18" s="20" t="n">
        <v>25</v>
      </c>
      <c r="H18" s="20" t="n">
        <v>25</v>
      </c>
      <c r="I18" s="13" t="s">
        <v>84</v>
      </c>
      <c r="J18" s="13"/>
      <c r="K18" s="13"/>
      <c r="L18" s="13"/>
      <c r="M18" s="13"/>
      <c r="N18" s="13"/>
      <c r="O18" s="13"/>
      <c r="P18" s="13"/>
      <c r="Q18" s="13"/>
    </row>
    <row r="19" customFormat="false" ht="15" hidden="false" customHeight="true" outlineLevel="0" collapsed="false">
      <c r="B19" s="23" t="s">
        <v>85</v>
      </c>
      <c r="C19" s="23"/>
      <c r="D19" s="23"/>
      <c r="E19" s="23"/>
      <c r="F19" s="24" t="n">
        <f aca="false">F15/F16</f>
        <v>2</v>
      </c>
      <c r="G19" s="24" t="n">
        <f aca="false">G15/G16</f>
        <v>2</v>
      </c>
      <c r="H19" s="24" t="n">
        <f aca="false">H15/H16</f>
        <v>2</v>
      </c>
      <c r="I19" s="13" t="s">
        <v>86</v>
      </c>
      <c r="J19" s="13"/>
      <c r="K19" s="13"/>
      <c r="L19" s="13"/>
      <c r="M19" s="13"/>
      <c r="N19" s="13"/>
      <c r="O19" s="13"/>
      <c r="P19" s="13"/>
      <c r="Q19" s="13"/>
    </row>
    <row r="20" customFormat="false" ht="15" hidden="false" customHeight="true" outlineLevel="0" collapsed="false">
      <c r="B20" s="23" t="s">
        <v>87</v>
      </c>
      <c r="C20" s="23"/>
      <c r="D20" s="23"/>
      <c r="E20" s="23"/>
      <c r="F20" s="25" t="n">
        <f aca="false">F19*F17</f>
        <v>48</v>
      </c>
      <c r="G20" s="25" t="n">
        <f aca="false">G19*G17</f>
        <v>48</v>
      </c>
      <c r="H20" s="25" t="n">
        <f aca="false">H19*H17</f>
        <v>48</v>
      </c>
      <c r="I20" s="13" t="s">
        <v>88</v>
      </c>
      <c r="J20" s="13"/>
      <c r="K20" s="13"/>
      <c r="L20" s="13"/>
      <c r="M20" s="13"/>
      <c r="N20" s="13"/>
      <c r="O20" s="13"/>
      <c r="P20" s="13"/>
      <c r="Q20" s="13"/>
    </row>
    <row r="21" customFormat="false" ht="15" hidden="false" customHeight="true" outlineLevel="0" collapsed="false">
      <c r="B21" s="23" t="s">
        <v>89</v>
      </c>
      <c r="C21" s="23"/>
      <c r="D21" s="23"/>
      <c r="E21" s="23"/>
      <c r="F21" s="24" t="n">
        <f aca="false">F10*F18/1024</f>
        <v>1.220703125</v>
      </c>
      <c r="G21" s="24" t="n">
        <f aca="false">G10*G18/1024</f>
        <v>4.8828125</v>
      </c>
      <c r="H21" s="24" t="n">
        <f aca="false">H10*H18/1024</f>
        <v>24.4140625</v>
      </c>
      <c r="I21" s="13" t="s">
        <v>90</v>
      </c>
      <c r="J21" s="13"/>
      <c r="K21" s="13"/>
      <c r="L21" s="13"/>
      <c r="M21" s="13"/>
      <c r="N21" s="13"/>
      <c r="O21" s="13"/>
      <c r="P21" s="13"/>
      <c r="Q21" s="13"/>
    </row>
    <row r="22" customFormat="false" ht="15" hidden="false" customHeight="true" outlineLevel="0" collapsed="false">
      <c r="B22" s="23" t="s">
        <v>91</v>
      </c>
      <c r="C22" s="23"/>
      <c r="D22" s="23"/>
      <c r="E22" s="23"/>
      <c r="F22" s="24" t="n">
        <f aca="false">F20*0.15</f>
        <v>7.2</v>
      </c>
      <c r="G22" s="24" t="n">
        <f aca="false">G20*0.15</f>
        <v>7.2</v>
      </c>
      <c r="H22" s="24" t="n">
        <f aca="false">H20*0.15</f>
        <v>7.2</v>
      </c>
      <c r="I22" s="13" t="s">
        <v>92</v>
      </c>
      <c r="J22" s="13"/>
      <c r="K22" s="13"/>
      <c r="L22" s="13"/>
      <c r="M22" s="13"/>
      <c r="N22" s="13"/>
      <c r="O22" s="13"/>
      <c r="P22" s="13"/>
      <c r="Q22" s="13"/>
    </row>
    <row r="23" customFormat="false" ht="15" hidden="false" customHeight="true" outlineLevel="0" collapsed="false">
      <c r="B23" s="23" t="s">
        <v>93</v>
      </c>
      <c r="C23" s="23"/>
      <c r="D23" s="23"/>
      <c r="E23" s="23"/>
      <c r="F23" s="24" t="n">
        <f aca="false">F19*3*0.15</f>
        <v>0.9</v>
      </c>
      <c r="G23" s="24" t="n">
        <f aca="false">G19*3*0.15</f>
        <v>0.9</v>
      </c>
      <c r="H23" s="24" t="n">
        <f aca="false">H19*3*0.15</f>
        <v>0.9</v>
      </c>
      <c r="I23" s="13" t="s">
        <v>94</v>
      </c>
      <c r="J23" s="13"/>
      <c r="K23" s="13"/>
      <c r="L23" s="13"/>
      <c r="M23" s="13"/>
      <c r="N23" s="13"/>
      <c r="O23" s="13"/>
      <c r="P23" s="13"/>
      <c r="Q23" s="13"/>
    </row>
    <row r="24" customFormat="false" ht="15" hidden="false" customHeight="true" outlineLevel="0" collapsed="false">
      <c r="B24" s="23" t="s">
        <v>95</v>
      </c>
      <c r="C24" s="23"/>
      <c r="D24" s="23"/>
      <c r="E24" s="23"/>
      <c r="F24" s="26" t="n">
        <f aca="false">F20*8*2+300</f>
        <v>1068</v>
      </c>
      <c r="G24" s="26" t="n">
        <f aca="false">G20*8*2+300</f>
        <v>1068</v>
      </c>
      <c r="H24" s="26" t="n">
        <f aca="false">H20*8*2+300</f>
        <v>1068</v>
      </c>
      <c r="I24" s="13" t="s">
        <v>96</v>
      </c>
      <c r="J24" s="13"/>
      <c r="K24" s="13"/>
      <c r="L24" s="13"/>
      <c r="M24" s="13"/>
      <c r="N24" s="13"/>
      <c r="O24" s="13"/>
      <c r="P24" s="13"/>
      <c r="Q24" s="13"/>
    </row>
    <row r="25" customFormat="false" ht="15" hidden="false" customHeight="true" outlineLevel="0" collapsed="false">
      <c r="B25" s="23" t="s">
        <v>97</v>
      </c>
      <c r="C25" s="23"/>
      <c r="D25" s="23"/>
      <c r="E25" s="23"/>
      <c r="F25" s="24" t="n">
        <f aca="false">F10*F11*F12/1024</f>
        <v>1.46484375</v>
      </c>
      <c r="G25" s="24" t="n">
        <f aca="false">G10*G11*G12/1024</f>
        <v>5.859375</v>
      </c>
      <c r="H25" s="24" t="n">
        <f aca="false">H10*H11*H12/1024</f>
        <v>29.296875</v>
      </c>
      <c r="I25" s="13" t="s">
        <v>98</v>
      </c>
      <c r="J25" s="13"/>
      <c r="K25" s="13"/>
      <c r="L25" s="13"/>
      <c r="M25" s="13"/>
      <c r="N25" s="13"/>
      <c r="O25" s="13"/>
      <c r="P25" s="13"/>
      <c r="Q25" s="13"/>
    </row>
    <row r="26" customFormat="false" ht="15" hidden="false" customHeight="true" outlineLevel="0" collapsed="false">
      <c r="B26" s="23" t="s">
        <v>99</v>
      </c>
      <c r="C26" s="23"/>
      <c r="D26" s="23"/>
      <c r="E26" s="23"/>
      <c r="F26" s="24" t="n">
        <f aca="false">F10*F11*F13/10000</f>
        <v>3</v>
      </c>
      <c r="G26" s="24" t="n">
        <f aca="false">G10*G11*G13/10000</f>
        <v>12</v>
      </c>
      <c r="H26" s="24" t="n">
        <f aca="false">H10*H11*H13/10000</f>
        <v>60</v>
      </c>
      <c r="I26" s="13"/>
      <c r="J26" s="13"/>
      <c r="K26" s="13"/>
      <c r="L26" s="13"/>
      <c r="M26" s="13"/>
      <c r="N26" s="13"/>
      <c r="O26" s="13"/>
      <c r="P26" s="13"/>
      <c r="Q26" s="13"/>
    </row>
    <row r="27" customFormat="false" ht="15" hidden="false" customHeight="true" outlineLevel="0" collapsed="false">
      <c r="B27" s="23" t="s">
        <v>100</v>
      </c>
      <c r="C27" s="23"/>
      <c r="D27" s="23"/>
      <c r="E27" s="23"/>
      <c r="F27" s="27" t="n">
        <f aca="false">F10*F14/1024</f>
        <v>0.146484375</v>
      </c>
      <c r="G27" s="27" t="n">
        <f aca="false">G10*G14/1024</f>
        <v>0.5859375</v>
      </c>
      <c r="H27" s="27" t="n">
        <f aca="false">H10*H14/1024</f>
        <v>2.9296875</v>
      </c>
      <c r="I27" s="13" t="s">
        <v>101</v>
      </c>
      <c r="J27" s="13"/>
      <c r="K27" s="13"/>
      <c r="L27" s="13"/>
      <c r="M27" s="13"/>
      <c r="N27" s="13"/>
      <c r="O27" s="13"/>
      <c r="P27" s="13"/>
      <c r="Q27" s="13"/>
    </row>
    <row r="30" customFormat="false" ht="15" hidden="false" customHeight="true" outlineLevel="0" collapsed="false">
      <c r="B30" s="3" t="s">
        <v>102</v>
      </c>
      <c r="F30" s="13" t="s">
        <v>103</v>
      </c>
      <c r="G30" s="13"/>
      <c r="H30" s="13"/>
      <c r="I30" s="13"/>
      <c r="J30" s="13"/>
      <c r="K30" s="13"/>
    </row>
    <row r="31" customFormat="false" ht="39.75" hidden="false" customHeight="true" outlineLevel="0" collapsed="false">
      <c r="A31" s="4" t="s">
        <v>104</v>
      </c>
      <c r="B31" s="4" t="s">
        <v>105</v>
      </c>
      <c r="C31" s="4" t="s">
        <v>106</v>
      </c>
      <c r="D31" s="4" t="s">
        <v>107</v>
      </c>
      <c r="E31" s="4" t="s">
        <v>108</v>
      </c>
      <c r="F31" s="28" t="s">
        <v>109</v>
      </c>
      <c r="G31" s="28" t="s">
        <v>110</v>
      </c>
      <c r="H31" s="28" t="s">
        <v>111</v>
      </c>
      <c r="I31" s="29" t="s">
        <v>112</v>
      </c>
      <c r="J31" s="29" t="s">
        <v>113</v>
      </c>
      <c r="K31" s="29" t="s">
        <v>114</v>
      </c>
      <c r="L31" s="28" t="s">
        <v>115</v>
      </c>
      <c r="M31" s="28" t="s">
        <v>116</v>
      </c>
      <c r="N31" s="28" t="s">
        <v>117</v>
      </c>
      <c r="O31" s="29" t="s">
        <v>118</v>
      </c>
      <c r="P31" s="29" t="s">
        <v>119</v>
      </c>
      <c r="Q31" s="29" t="s">
        <v>120</v>
      </c>
      <c r="R31" s="4" t="s">
        <v>121</v>
      </c>
      <c r="S31" s="4" t="s">
        <v>122</v>
      </c>
    </row>
    <row r="32" customFormat="false" ht="23.85" hidden="false" customHeight="false" outlineLevel="0" collapsed="false">
      <c r="A32" s="30" t="n">
        <v>1</v>
      </c>
      <c r="B32" s="7" t="s">
        <v>123</v>
      </c>
      <c r="C32" s="7" t="s">
        <v>124</v>
      </c>
      <c r="D32" s="31" t="n">
        <v>0.018</v>
      </c>
      <c r="E32" s="30" t="s">
        <v>125</v>
      </c>
      <c r="F32" s="32" t="n">
        <f aca="false">$F$7</f>
        <v>730</v>
      </c>
      <c r="G32" s="32" t="n">
        <f aca="false">$F$7</f>
        <v>730</v>
      </c>
      <c r="H32" s="32" t="n">
        <f aca="false">$F$7</f>
        <v>730</v>
      </c>
      <c r="I32" s="33" t="n">
        <v>0</v>
      </c>
      <c r="J32" s="33" t="n">
        <v>0</v>
      </c>
      <c r="K32" s="33" t="n">
        <v>0</v>
      </c>
      <c r="L32" s="34" t="n">
        <f aca="false">$D32*F32*$F$5*(1-$F$6)</f>
        <v>1254.87</v>
      </c>
      <c r="M32" s="34" t="n">
        <f aca="false">$D32*G32*$F$5*(1-$F$6)</f>
        <v>1254.87</v>
      </c>
      <c r="N32" s="34" t="n">
        <f aca="false">$D32*H32*$F$5*(1-$F$6)</f>
        <v>1254.87</v>
      </c>
      <c r="O32" s="35" t="n">
        <f aca="false">$D32*I32*$F$5*(1-$F$6)</f>
        <v>0</v>
      </c>
      <c r="P32" s="35" t="n">
        <f aca="false">$D32*J32*$F$5*(1-$F$6)</f>
        <v>0</v>
      </c>
      <c r="Q32" s="35" t="n">
        <f aca="false">$D32*K32*$F$5*(1-$F$6)</f>
        <v>0</v>
      </c>
      <c r="R32" s="36" t="s">
        <v>126</v>
      </c>
      <c r="S32" s="37"/>
    </row>
    <row r="33" customFormat="false" ht="23.85" hidden="false" customHeight="false" outlineLevel="0" collapsed="false">
      <c r="A33" s="30" t="n">
        <v>2</v>
      </c>
      <c r="B33" s="7" t="s">
        <v>127</v>
      </c>
      <c r="C33" s="7" t="s">
        <v>128</v>
      </c>
      <c r="D33" s="31" t="n">
        <v>0.082</v>
      </c>
      <c r="E33" s="30" t="s">
        <v>129</v>
      </c>
      <c r="F33" s="38" t="n">
        <v>0</v>
      </c>
      <c r="G33" s="38" t="n">
        <v>0</v>
      </c>
      <c r="H33" s="38" t="n">
        <v>0</v>
      </c>
      <c r="I33" s="39" t="n">
        <f aca="false">$F$7</f>
        <v>730</v>
      </c>
      <c r="J33" s="39" t="n">
        <f aca="false">$F$7</f>
        <v>730</v>
      </c>
      <c r="K33" s="39" t="n">
        <f aca="false">2*$F$7</f>
        <v>1460</v>
      </c>
      <c r="L33" s="34" t="n">
        <f aca="false">$D33*F33*$F$5*(1-$F$6)</f>
        <v>0</v>
      </c>
      <c r="M33" s="34" t="n">
        <f aca="false">$D33*G33*$F$5*(1-$F$6)</f>
        <v>0</v>
      </c>
      <c r="N33" s="34" t="n">
        <f aca="false">$D33*H33*$F$5*(1-$F$6)</f>
        <v>0</v>
      </c>
      <c r="O33" s="35" t="n">
        <f aca="false">$D33*I33*$F$5*(1-$F$6)</f>
        <v>5716.63</v>
      </c>
      <c r="P33" s="35" t="n">
        <f aca="false">$D33*J33*$F$5*(1-$F$6)</f>
        <v>5716.63</v>
      </c>
      <c r="Q33" s="35" t="n">
        <f aca="false">$D33*K33*$F$5*(1-$F$6)</f>
        <v>11433.26</v>
      </c>
      <c r="R33" s="36" t="s">
        <v>130</v>
      </c>
      <c r="S33" s="37"/>
    </row>
    <row r="34" customFormat="false" ht="23.85" hidden="false" customHeight="false" outlineLevel="0" collapsed="false">
      <c r="A34" s="30" t="n">
        <v>3</v>
      </c>
      <c r="B34" s="7" t="s">
        <v>131</v>
      </c>
      <c r="C34" s="7" t="s">
        <v>132</v>
      </c>
      <c r="D34" s="40" t="n">
        <v>0</v>
      </c>
      <c r="E34" s="30" t="s">
        <v>133</v>
      </c>
      <c r="F34" s="38" t="n">
        <v>0</v>
      </c>
      <c r="G34" s="38" t="n">
        <v>0</v>
      </c>
      <c r="H34" s="38" t="n">
        <v>0</v>
      </c>
      <c r="I34" s="33" t="n">
        <v>1</v>
      </c>
      <c r="J34" s="33" t="n">
        <v>1</v>
      </c>
      <c r="K34" s="33" t="n">
        <v>1</v>
      </c>
      <c r="L34" s="34" t="n">
        <f aca="false">$D34*F34*$F$5*(1-$F$6)</f>
        <v>0</v>
      </c>
      <c r="M34" s="34" t="n">
        <f aca="false">$D34*G34*$F$5*(1-$F$6)</f>
        <v>0</v>
      </c>
      <c r="N34" s="34" t="n">
        <f aca="false">$D34*H34*$F$5*(1-$F$6)</f>
        <v>0</v>
      </c>
      <c r="O34" s="35" t="n">
        <f aca="false">$D34*I34*$F$5*(1-$F$6)</f>
        <v>0</v>
      </c>
      <c r="P34" s="35" t="n">
        <f aca="false">$D34*J34*$F$5*(1-$F$6)</f>
        <v>0</v>
      </c>
      <c r="Q34" s="35" t="n">
        <f aca="false">$D34*K34*$F$5*(1-$F$6)</f>
        <v>0</v>
      </c>
      <c r="R34" s="36" t="s">
        <v>134</v>
      </c>
      <c r="S34" s="37"/>
    </row>
    <row r="35" customFormat="false" ht="22.35" hidden="false" customHeight="false" outlineLevel="0" collapsed="false">
      <c r="A35" s="30" t="n">
        <v>4</v>
      </c>
      <c r="B35" s="7" t="s">
        <v>135</v>
      </c>
      <c r="C35" s="7" t="s">
        <v>136</v>
      </c>
      <c r="D35" s="40" t="n">
        <v>0</v>
      </c>
      <c r="E35" s="30" t="s">
        <v>133</v>
      </c>
      <c r="F35" s="38" t="n">
        <v>0</v>
      </c>
      <c r="G35" s="38" t="n">
        <v>0</v>
      </c>
      <c r="H35" s="38" t="n">
        <v>0</v>
      </c>
      <c r="I35" s="33" t="n">
        <v>1</v>
      </c>
      <c r="J35" s="33" t="n">
        <v>1</v>
      </c>
      <c r="K35" s="33" t="n">
        <v>1</v>
      </c>
      <c r="L35" s="34" t="n">
        <f aca="false">$D35*F35*$F$5*(1-$F$6)</f>
        <v>0</v>
      </c>
      <c r="M35" s="34" t="n">
        <f aca="false">$D35*G35*$F$5*(1-$F$6)</f>
        <v>0</v>
      </c>
      <c r="N35" s="34" t="n">
        <f aca="false">$D35*H35*$F$5*(1-$F$6)</f>
        <v>0</v>
      </c>
      <c r="O35" s="35" t="n">
        <f aca="false">$D35*I35*$F$5*(1-$F$6)</f>
        <v>0</v>
      </c>
      <c r="P35" s="35" t="n">
        <f aca="false">$D35*J35*$F$5*(1-$F$6)</f>
        <v>0</v>
      </c>
      <c r="Q35" s="35" t="n">
        <f aca="false">$D35*K35*$F$5*(1-$F$6)</f>
        <v>0</v>
      </c>
      <c r="R35" s="36" t="s">
        <v>137</v>
      </c>
      <c r="S35" s="37"/>
    </row>
    <row r="36" customFormat="false" ht="23.85" hidden="false" customHeight="false" outlineLevel="0" collapsed="false">
      <c r="A36" s="30" t="n">
        <v>5</v>
      </c>
      <c r="B36" s="7" t="s">
        <v>138</v>
      </c>
      <c r="C36" s="7" t="s">
        <v>139</v>
      </c>
      <c r="D36" s="31" t="n">
        <v>0.018</v>
      </c>
      <c r="E36" s="30" t="s">
        <v>125</v>
      </c>
      <c r="F36" s="38" t="n">
        <v>0</v>
      </c>
      <c r="G36" s="38" t="n">
        <v>0</v>
      </c>
      <c r="H36" s="38" t="n">
        <v>0</v>
      </c>
      <c r="I36" s="39" t="n">
        <f aca="false">$F$7</f>
        <v>730</v>
      </c>
      <c r="J36" s="39" t="n">
        <f aca="false">$F$7</f>
        <v>730</v>
      </c>
      <c r="K36" s="39" t="n">
        <f aca="false">$F$7</f>
        <v>730</v>
      </c>
      <c r="L36" s="34" t="n">
        <f aca="false">$D36*F36*$F$5*(1-$F$6)</f>
        <v>0</v>
      </c>
      <c r="M36" s="34" t="n">
        <f aca="false">$D36*G36*$F$5*(1-$F$6)</f>
        <v>0</v>
      </c>
      <c r="N36" s="34" t="n">
        <f aca="false">$D36*H36*$F$5*(1-$F$6)</f>
        <v>0</v>
      </c>
      <c r="O36" s="35" t="n">
        <f aca="false">$D36*I36*$F$5*(1-$F$6)</f>
        <v>1254.87</v>
      </c>
      <c r="P36" s="35" t="n">
        <f aca="false">$D36*J36*$F$5*(1-$F$6)</f>
        <v>1254.87</v>
      </c>
      <c r="Q36" s="35" t="n">
        <f aca="false">$D36*K36*$F$5*(1-$F$6)</f>
        <v>1254.87</v>
      </c>
      <c r="R36" s="36" t="s">
        <v>140</v>
      </c>
      <c r="S36" s="37"/>
    </row>
    <row r="37" customFormat="false" ht="23.85" hidden="false" customHeight="false" outlineLevel="0" collapsed="false">
      <c r="A37" s="30" t="n">
        <v>6</v>
      </c>
      <c r="B37" s="7" t="s">
        <v>141</v>
      </c>
      <c r="C37" s="7" t="s">
        <v>142</v>
      </c>
      <c r="D37" s="31" t="n">
        <v>0.02</v>
      </c>
      <c r="E37" s="30" t="s">
        <v>129</v>
      </c>
      <c r="F37" s="38" t="n">
        <v>0</v>
      </c>
      <c r="G37" s="38" t="n">
        <v>0</v>
      </c>
      <c r="H37" s="38" t="n">
        <v>0</v>
      </c>
      <c r="I37" s="39" t="n">
        <f aca="false">$F$7</f>
        <v>730</v>
      </c>
      <c r="J37" s="39" t="n">
        <f aca="false">$F$7</f>
        <v>730</v>
      </c>
      <c r="K37" s="39" t="n">
        <f aca="false">2*$F$7</f>
        <v>1460</v>
      </c>
      <c r="L37" s="34" t="n">
        <f aca="false">$D37*F37*$F$5*(1-$F$6)</f>
        <v>0</v>
      </c>
      <c r="M37" s="34" t="n">
        <f aca="false">$D37*G37*$F$5*(1-$F$6)</f>
        <v>0</v>
      </c>
      <c r="N37" s="34" t="n">
        <f aca="false">$D37*H37*$F$5*(1-$F$6)</f>
        <v>0</v>
      </c>
      <c r="O37" s="35" t="n">
        <f aca="false">$D37*I37*$F$5*(1-$F$6)</f>
        <v>1394.3</v>
      </c>
      <c r="P37" s="35" t="n">
        <f aca="false">$D37*J37*$F$5*(1-$F$6)</f>
        <v>1394.3</v>
      </c>
      <c r="Q37" s="35" t="n">
        <f aca="false">$D37*K37*$F$5*(1-$F$6)</f>
        <v>2788.6</v>
      </c>
      <c r="R37" s="36" t="s">
        <v>143</v>
      </c>
      <c r="S37" s="37"/>
    </row>
    <row r="38" customFormat="false" ht="22.35" hidden="false" customHeight="false" outlineLevel="0" collapsed="false">
      <c r="A38" s="30" t="n">
        <v>7</v>
      </c>
      <c r="B38" s="7" t="s">
        <v>144</v>
      </c>
      <c r="C38" s="7" t="s">
        <v>145</v>
      </c>
      <c r="D38" s="31" t="n">
        <v>0.01</v>
      </c>
      <c r="E38" s="30" t="s">
        <v>125</v>
      </c>
      <c r="F38" s="32" t="n">
        <f aca="false">$F$7</f>
        <v>730</v>
      </c>
      <c r="G38" s="32" t="n">
        <f aca="false">$F$7</f>
        <v>730</v>
      </c>
      <c r="H38" s="32" t="n">
        <f aca="false">$F$7</f>
        <v>730</v>
      </c>
      <c r="I38" s="39" t="n">
        <f aca="false">$F$7</f>
        <v>730</v>
      </c>
      <c r="J38" s="39" t="n">
        <f aca="false">$F$7</f>
        <v>730</v>
      </c>
      <c r="K38" s="39" t="n">
        <f aca="false">$F$7</f>
        <v>730</v>
      </c>
      <c r="L38" s="34" t="n">
        <f aca="false">$D38*F38*$F$5*(1-$F$6)</f>
        <v>697.15</v>
      </c>
      <c r="M38" s="34" t="n">
        <f aca="false">$D38*G38*$F$5*(1-$F$6)</f>
        <v>697.15</v>
      </c>
      <c r="N38" s="34" t="n">
        <f aca="false">$D38*H38*$F$5*(1-$F$6)</f>
        <v>697.15</v>
      </c>
      <c r="O38" s="35" t="n">
        <f aca="false">$D38*I38*$F$5*(1-$F$6)</f>
        <v>697.15</v>
      </c>
      <c r="P38" s="35" t="n">
        <f aca="false">$D38*J38*$F$5*(1-$F$6)</f>
        <v>697.15</v>
      </c>
      <c r="Q38" s="35" t="n">
        <f aca="false">$D38*K38*$F$5*(1-$F$6)</f>
        <v>697.15</v>
      </c>
      <c r="R38" s="36" t="s">
        <v>146</v>
      </c>
      <c r="S38" s="37"/>
    </row>
    <row r="39" customFormat="false" ht="15" hidden="false" customHeight="false" outlineLevel="0" collapsed="false">
      <c r="A39" s="30" t="n">
        <v>8</v>
      </c>
      <c r="B39" s="7" t="s">
        <v>147</v>
      </c>
      <c r="C39" s="7" t="s">
        <v>148</v>
      </c>
      <c r="D39" s="31" t="n">
        <v>0.01</v>
      </c>
      <c r="E39" s="30" t="s">
        <v>125</v>
      </c>
      <c r="F39" s="38" t="n">
        <v>0</v>
      </c>
      <c r="G39" s="38" t="n">
        <v>0</v>
      </c>
      <c r="H39" s="38" t="n">
        <v>0</v>
      </c>
      <c r="I39" s="39" t="n">
        <f aca="false">$F$7</f>
        <v>730</v>
      </c>
      <c r="J39" s="39" t="n">
        <f aca="false">$F$7</f>
        <v>730</v>
      </c>
      <c r="K39" s="39" t="n">
        <f aca="false">$F$7</f>
        <v>730</v>
      </c>
      <c r="L39" s="34" t="n">
        <f aca="false">$D39*F39*$F$5*(1-$F$6)</f>
        <v>0</v>
      </c>
      <c r="M39" s="34" t="n">
        <f aca="false">$D39*G39*$F$5*(1-$F$6)</f>
        <v>0</v>
      </c>
      <c r="N39" s="34" t="n">
        <f aca="false">$D39*H39*$F$5*(1-$F$6)</f>
        <v>0</v>
      </c>
      <c r="O39" s="35" t="n">
        <f aca="false">$D39*I39*$F$5*(1-$F$6)</f>
        <v>697.15</v>
      </c>
      <c r="P39" s="35" t="n">
        <f aca="false">$D39*J39*$F$5*(1-$F$6)</f>
        <v>697.15</v>
      </c>
      <c r="Q39" s="35" t="n">
        <f aca="false">$D39*K39*$F$5*(1-$F$6)</f>
        <v>697.15</v>
      </c>
      <c r="R39" s="36" t="s">
        <v>149</v>
      </c>
      <c r="S39" s="37"/>
    </row>
    <row r="40" customFormat="false" ht="15" hidden="false" customHeight="false" outlineLevel="0" collapsed="false">
      <c r="A40" s="30" t="n">
        <v>9</v>
      </c>
      <c r="B40" s="7" t="s">
        <v>150</v>
      </c>
      <c r="C40" s="7" t="s">
        <v>151</v>
      </c>
      <c r="D40" s="31" t="n">
        <v>0.01</v>
      </c>
      <c r="E40" s="30" t="s">
        <v>125</v>
      </c>
      <c r="F40" s="38" t="n">
        <v>0</v>
      </c>
      <c r="G40" s="38" t="n">
        <v>0</v>
      </c>
      <c r="H40" s="38" t="n">
        <v>0</v>
      </c>
      <c r="I40" s="39" t="n">
        <f aca="false">$F$7</f>
        <v>730</v>
      </c>
      <c r="J40" s="39" t="n">
        <f aca="false">$F$7</f>
        <v>730</v>
      </c>
      <c r="K40" s="39" t="n">
        <f aca="false">$F$7</f>
        <v>730</v>
      </c>
      <c r="L40" s="34" t="n">
        <f aca="false">$D40*F40*$F$5*(1-$F$6)</f>
        <v>0</v>
      </c>
      <c r="M40" s="34" t="n">
        <f aca="false">$D40*G40*$F$5*(1-$F$6)</f>
        <v>0</v>
      </c>
      <c r="N40" s="34" t="n">
        <f aca="false">$D40*H40*$F$5*(1-$F$6)</f>
        <v>0</v>
      </c>
      <c r="O40" s="35" t="n">
        <f aca="false">$D40*I40*$F$5*(1-$F$6)</f>
        <v>697.15</v>
      </c>
      <c r="P40" s="35" t="n">
        <f aca="false">$D40*J40*$F$5*(1-$F$6)</f>
        <v>697.15</v>
      </c>
      <c r="Q40" s="35" t="n">
        <f aca="false">$D40*K40*$F$5*(1-$F$6)</f>
        <v>697.15</v>
      </c>
      <c r="R40" s="36" t="s">
        <v>152</v>
      </c>
      <c r="S40" s="37"/>
    </row>
    <row r="41" customFormat="false" ht="15" hidden="false" customHeight="false" outlineLevel="0" collapsed="false">
      <c r="A41" s="30" t="n">
        <v>10</v>
      </c>
      <c r="B41" s="7" t="s">
        <v>153</v>
      </c>
      <c r="C41" s="7" t="s">
        <v>154</v>
      </c>
      <c r="D41" s="31" t="n">
        <v>0.01</v>
      </c>
      <c r="E41" s="30" t="s">
        <v>125</v>
      </c>
      <c r="F41" s="38" t="n">
        <v>0</v>
      </c>
      <c r="G41" s="38" t="n">
        <v>0</v>
      </c>
      <c r="H41" s="38" t="n">
        <v>0</v>
      </c>
      <c r="I41" s="39" t="n">
        <f aca="false">$F$7</f>
        <v>730</v>
      </c>
      <c r="J41" s="39" t="n">
        <f aca="false">$F$7</f>
        <v>730</v>
      </c>
      <c r="K41" s="39" t="n">
        <f aca="false">$F$7</f>
        <v>730</v>
      </c>
      <c r="L41" s="34" t="n">
        <f aca="false">$D41*F41*$F$5*(1-$F$6)</f>
        <v>0</v>
      </c>
      <c r="M41" s="34" t="n">
        <f aca="false">$D41*G41*$F$5*(1-$F$6)</f>
        <v>0</v>
      </c>
      <c r="N41" s="34" t="n">
        <f aca="false">$D41*H41*$F$5*(1-$F$6)</f>
        <v>0</v>
      </c>
      <c r="O41" s="35" t="n">
        <f aca="false">$D41*I41*$F$5*(1-$F$6)</f>
        <v>697.15</v>
      </c>
      <c r="P41" s="35" t="n">
        <f aca="false">$D41*J41*$F$5*(1-$F$6)</f>
        <v>697.15</v>
      </c>
      <c r="Q41" s="35" t="n">
        <f aca="false">$D41*K41*$F$5*(1-$F$6)</f>
        <v>697.15</v>
      </c>
      <c r="R41" s="36" t="s">
        <v>152</v>
      </c>
      <c r="S41" s="37"/>
    </row>
    <row r="42" customFormat="false" ht="15" hidden="false" customHeight="false" outlineLevel="0" collapsed="false">
      <c r="A42" s="30" t="n">
        <v>11</v>
      </c>
      <c r="B42" s="7" t="s">
        <v>155</v>
      </c>
      <c r="C42" s="7" t="s">
        <v>156</v>
      </c>
      <c r="D42" s="31" t="n">
        <v>0.01</v>
      </c>
      <c r="E42" s="30" t="s">
        <v>157</v>
      </c>
      <c r="F42" s="41" t="n">
        <f aca="false">F25</f>
        <v>1.46484375</v>
      </c>
      <c r="G42" s="41" t="n">
        <f aca="false">G25</f>
        <v>5.859375</v>
      </c>
      <c r="H42" s="41" t="n">
        <f aca="false">H25</f>
        <v>29.296875</v>
      </c>
      <c r="I42" s="42" t="n">
        <f aca="false">F25*1.2</f>
        <v>1.7578125</v>
      </c>
      <c r="J42" s="42" t="n">
        <f aca="false">G25*1.2</f>
        <v>7.03125</v>
      </c>
      <c r="K42" s="42" t="n">
        <f aca="false">H25*1.2</f>
        <v>35.15625</v>
      </c>
      <c r="L42" s="34" t="n">
        <f aca="false">$D42*F42*$F$5*(1-$F$6)</f>
        <v>1.39892578125</v>
      </c>
      <c r="M42" s="34" t="n">
        <f aca="false">$D42*G42*$F$5*(1-$F$6)</f>
        <v>5.595703125</v>
      </c>
      <c r="N42" s="34" t="n">
        <f aca="false">$D42*H42*$F$5*(1-$F$6)</f>
        <v>27.978515625</v>
      </c>
      <c r="O42" s="35" t="n">
        <f aca="false">$D42*I42*$F$5*(1-$F$6)</f>
        <v>1.6787109375</v>
      </c>
      <c r="P42" s="35" t="n">
        <f aca="false">$D42*J42*$F$5*(1-$F$6)</f>
        <v>6.71484375</v>
      </c>
      <c r="Q42" s="35" t="n">
        <f aca="false">$D42*K42*$F$5*(1-$F$6)</f>
        <v>33.57421875</v>
      </c>
      <c r="R42" s="36" t="s">
        <v>158</v>
      </c>
      <c r="S42" s="37"/>
    </row>
    <row r="43" customFormat="false" ht="22.35" hidden="false" customHeight="false" outlineLevel="0" collapsed="false">
      <c r="A43" s="30" t="n">
        <v>12</v>
      </c>
      <c r="B43" s="7" t="s">
        <v>159</v>
      </c>
      <c r="C43" s="7" t="s">
        <v>160</v>
      </c>
      <c r="D43" s="40" t="n">
        <v>0.5</v>
      </c>
      <c r="E43" s="30" t="s">
        <v>161</v>
      </c>
      <c r="F43" s="38" t="n">
        <v>1</v>
      </c>
      <c r="G43" s="38" t="n">
        <v>1</v>
      </c>
      <c r="H43" s="38" t="n">
        <v>1</v>
      </c>
      <c r="I43" s="33" t="n">
        <v>3</v>
      </c>
      <c r="J43" s="33" t="n">
        <v>3</v>
      </c>
      <c r="K43" s="33" t="n">
        <v>3</v>
      </c>
      <c r="L43" s="34" t="n">
        <f aca="false">$D43*F43*$F$5*(1-$F$6)</f>
        <v>47.75</v>
      </c>
      <c r="M43" s="34" t="n">
        <f aca="false">$D43*G43*$F$5*(1-$F$6)</f>
        <v>47.75</v>
      </c>
      <c r="N43" s="34" t="n">
        <f aca="false">$D43*H43*$F$5*(1-$F$6)</f>
        <v>47.75</v>
      </c>
      <c r="O43" s="35" t="n">
        <f aca="false">$D43*I43*$F$5*(1-$F$6)</f>
        <v>143.25</v>
      </c>
      <c r="P43" s="35" t="n">
        <f aca="false">$D43*J43*$F$5*(1-$F$6)</f>
        <v>143.25</v>
      </c>
      <c r="Q43" s="35" t="n">
        <f aca="false">$D43*K43*$F$5*(1-$F$6)</f>
        <v>143.25</v>
      </c>
      <c r="R43" s="36" t="s">
        <v>162</v>
      </c>
      <c r="S43" s="37"/>
    </row>
    <row r="44" customFormat="false" ht="23.85" hidden="false" customHeight="false" outlineLevel="0" collapsed="false">
      <c r="A44" s="30" t="n">
        <v>13</v>
      </c>
      <c r="B44" s="7" t="s">
        <v>163</v>
      </c>
      <c r="C44" s="7" t="s">
        <v>164</v>
      </c>
      <c r="D44" s="31" t="n">
        <v>0.02</v>
      </c>
      <c r="E44" s="30" t="s">
        <v>165</v>
      </c>
      <c r="F44" s="38" t="n">
        <v>1</v>
      </c>
      <c r="G44" s="38" t="n">
        <v>1</v>
      </c>
      <c r="H44" s="38" t="n">
        <v>1</v>
      </c>
      <c r="I44" s="33" t="n">
        <v>3</v>
      </c>
      <c r="J44" s="33" t="n">
        <v>3</v>
      </c>
      <c r="K44" s="33" t="n">
        <v>3</v>
      </c>
      <c r="L44" s="34" t="n">
        <f aca="false">$D44*F44*$F$5*(1-$F$6)</f>
        <v>1.91</v>
      </c>
      <c r="M44" s="34" t="n">
        <f aca="false">$D44*G44*$F$5*(1-$F$6)</f>
        <v>1.91</v>
      </c>
      <c r="N44" s="34" t="n">
        <f aca="false">$D44*H44*$F$5*(1-$F$6)</f>
        <v>1.91</v>
      </c>
      <c r="O44" s="35" t="n">
        <f aca="false">$D44*I44*$F$5*(1-$F$6)</f>
        <v>5.73</v>
      </c>
      <c r="P44" s="35" t="n">
        <f aca="false">$D44*J44*$F$5*(1-$F$6)</f>
        <v>5.73</v>
      </c>
      <c r="Q44" s="35" t="n">
        <f aca="false">$D44*K44*$F$5*(1-$F$6)</f>
        <v>5.73</v>
      </c>
      <c r="R44" s="36" t="s">
        <v>166</v>
      </c>
      <c r="S44" s="37"/>
    </row>
    <row r="45" customFormat="false" ht="15" hidden="false" customHeight="false" outlineLevel="0" collapsed="false">
      <c r="A45" s="30" t="n">
        <v>14</v>
      </c>
      <c r="B45" s="7" t="s">
        <v>167</v>
      </c>
      <c r="C45" s="7" t="s">
        <v>168</v>
      </c>
      <c r="D45" s="31" t="n">
        <v>0.0044</v>
      </c>
      <c r="E45" s="30" t="s">
        <v>169</v>
      </c>
      <c r="F45" s="41" t="n">
        <f aca="false">F26</f>
        <v>3</v>
      </c>
      <c r="G45" s="41" t="n">
        <f aca="false">G26</f>
        <v>12</v>
      </c>
      <c r="H45" s="41" t="n">
        <f aca="false">H26</f>
        <v>60</v>
      </c>
      <c r="I45" s="42" t="n">
        <f aca="false">F26*1.2</f>
        <v>3.6</v>
      </c>
      <c r="J45" s="42" t="n">
        <f aca="false">G26*1.2</f>
        <v>14.4</v>
      </c>
      <c r="K45" s="42" t="n">
        <f aca="false">H26*1.2</f>
        <v>72</v>
      </c>
      <c r="L45" s="34" t="n">
        <f aca="false">$D45*F45*$F$5*(1-$F$6)</f>
        <v>1.2606</v>
      </c>
      <c r="M45" s="34" t="n">
        <f aca="false">$D45*G45*$F$5*(1-$F$6)</f>
        <v>5.0424</v>
      </c>
      <c r="N45" s="34" t="n">
        <f aca="false">$D45*H45*$F$5*(1-$F$6)</f>
        <v>25.212</v>
      </c>
      <c r="O45" s="35" t="n">
        <f aca="false">$D45*I45*$F$5*(1-$F$6)</f>
        <v>1.51272</v>
      </c>
      <c r="P45" s="35" t="n">
        <f aca="false">$D45*J45*$F$5*(1-$F$6)</f>
        <v>6.05088</v>
      </c>
      <c r="Q45" s="35" t="n">
        <f aca="false">$D45*K45*$F$5*(1-$F$6)</f>
        <v>30.2544</v>
      </c>
      <c r="R45" s="36" t="s">
        <v>170</v>
      </c>
      <c r="S45" s="37"/>
    </row>
    <row r="46" customFormat="false" ht="15" hidden="false" customHeight="false" outlineLevel="0" collapsed="false">
      <c r="A46" s="30" t="n">
        <v>15</v>
      </c>
      <c r="B46" s="7" t="s">
        <v>171</v>
      </c>
      <c r="C46" s="7" t="s">
        <v>172</v>
      </c>
      <c r="D46" s="31" t="n">
        <v>0.055</v>
      </c>
      <c r="E46" s="30" t="s">
        <v>169</v>
      </c>
      <c r="F46" s="38" t="n">
        <v>1</v>
      </c>
      <c r="G46" s="38" t="n">
        <v>1</v>
      </c>
      <c r="H46" s="38" t="n">
        <v>1</v>
      </c>
      <c r="I46" s="33" t="n">
        <v>2</v>
      </c>
      <c r="J46" s="33" t="n">
        <v>2</v>
      </c>
      <c r="K46" s="33" t="n">
        <v>2</v>
      </c>
      <c r="L46" s="34" t="n">
        <f aca="false">$D46*F46*$F$5*(1-$F$6)</f>
        <v>5.2525</v>
      </c>
      <c r="M46" s="34" t="n">
        <f aca="false">$D46*G46*$F$5*(1-$F$6)</f>
        <v>5.2525</v>
      </c>
      <c r="N46" s="34" t="n">
        <f aca="false">$D46*H46*$F$5*(1-$F$6)</f>
        <v>5.2525</v>
      </c>
      <c r="O46" s="35" t="n">
        <f aca="false">$D46*I46*$F$5*(1-$F$6)</f>
        <v>10.505</v>
      </c>
      <c r="P46" s="35" t="n">
        <f aca="false">$D46*J46*$F$5*(1-$F$6)</f>
        <v>10.505</v>
      </c>
      <c r="Q46" s="35" t="n">
        <f aca="false">$D46*K46*$F$5*(1-$F$6)</f>
        <v>10.505</v>
      </c>
      <c r="R46" s="36" t="s">
        <v>173</v>
      </c>
      <c r="S46" s="37"/>
    </row>
    <row r="47" customFormat="false" ht="15" hidden="false" customHeight="false" outlineLevel="0" collapsed="false">
      <c r="A47" s="30" t="n">
        <v>16</v>
      </c>
      <c r="B47" s="7" t="s">
        <v>174</v>
      </c>
      <c r="C47" s="7" t="s">
        <v>175</v>
      </c>
      <c r="D47" s="31" t="n">
        <v>0.03</v>
      </c>
      <c r="E47" s="30" t="s">
        <v>169</v>
      </c>
      <c r="F47" s="38" t="n">
        <v>1</v>
      </c>
      <c r="G47" s="38" t="n">
        <v>1</v>
      </c>
      <c r="H47" s="38" t="n">
        <v>1</v>
      </c>
      <c r="I47" s="33" t="n">
        <v>2</v>
      </c>
      <c r="J47" s="33" t="n">
        <v>2</v>
      </c>
      <c r="K47" s="33" t="n">
        <v>2</v>
      </c>
      <c r="L47" s="34" t="n">
        <f aca="false">$D47*F47*$F$5*(1-$F$6)</f>
        <v>2.865</v>
      </c>
      <c r="M47" s="34" t="n">
        <f aca="false">$D47*G47*$F$5*(1-$F$6)</f>
        <v>2.865</v>
      </c>
      <c r="N47" s="34" t="n">
        <f aca="false">$D47*H47*$F$5*(1-$F$6)</f>
        <v>2.865</v>
      </c>
      <c r="O47" s="35" t="n">
        <f aca="false">$D47*I47*$F$5*(1-$F$6)</f>
        <v>5.73</v>
      </c>
      <c r="P47" s="35" t="n">
        <f aca="false">$D47*J47*$F$5*(1-$F$6)</f>
        <v>5.73</v>
      </c>
      <c r="Q47" s="35" t="n">
        <f aca="false">$D47*K47*$F$5*(1-$F$6)</f>
        <v>5.73</v>
      </c>
      <c r="R47" s="36" t="s">
        <v>176</v>
      </c>
      <c r="S47" s="37"/>
    </row>
    <row r="48" customFormat="false" ht="15" hidden="false" customHeight="false" outlineLevel="0" collapsed="false">
      <c r="A48" s="30" t="n">
        <v>17</v>
      </c>
      <c r="B48" s="7" t="s">
        <v>177</v>
      </c>
      <c r="C48" s="7" t="s">
        <v>178</v>
      </c>
      <c r="D48" s="40" t="n">
        <v>0</v>
      </c>
      <c r="E48" s="30" t="s">
        <v>179</v>
      </c>
      <c r="F48" s="38" t="n">
        <v>3</v>
      </c>
      <c r="G48" s="38" t="n">
        <v>3</v>
      </c>
      <c r="H48" s="38" t="n">
        <v>3</v>
      </c>
      <c r="I48" s="33" t="n">
        <v>6</v>
      </c>
      <c r="J48" s="33" t="n">
        <v>6</v>
      </c>
      <c r="K48" s="33" t="n">
        <v>6</v>
      </c>
      <c r="L48" s="34" t="n">
        <f aca="false">$D48*F48*$F$5*(1-$F$6)</f>
        <v>0</v>
      </c>
      <c r="M48" s="34" t="n">
        <f aca="false">$D48*G48*$F$5*(1-$F$6)</f>
        <v>0</v>
      </c>
      <c r="N48" s="34" t="n">
        <f aca="false">$D48*H48*$F$5*(1-$F$6)</f>
        <v>0</v>
      </c>
      <c r="O48" s="35" t="n">
        <f aca="false">$D48*I48*$F$5*(1-$F$6)</f>
        <v>0</v>
      </c>
      <c r="P48" s="35" t="n">
        <f aca="false">$D48*J48*$F$5*(1-$F$6)</f>
        <v>0</v>
      </c>
      <c r="Q48" s="35" t="n">
        <f aca="false">$D48*K48*$F$5*(1-$F$6)</f>
        <v>0</v>
      </c>
      <c r="R48" s="36" t="s">
        <v>180</v>
      </c>
      <c r="S48" s="37"/>
    </row>
    <row r="49" customFormat="false" ht="15" hidden="false" customHeight="false" outlineLevel="0" collapsed="false">
      <c r="A49" s="30" t="n">
        <v>18</v>
      </c>
      <c r="B49" s="7" t="s">
        <v>181</v>
      </c>
      <c r="C49" s="7" t="s">
        <v>182</v>
      </c>
      <c r="D49" s="40" t="n">
        <v>0.5</v>
      </c>
      <c r="E49" s="30" t="s">
        <v>179</v>
      </c>
      <c r="F49" s="38" t="n">
        <v>1</v>
      </c>
      <c r="G49" s="38" t="n">
        <v>1</v>
      </c>
      <c r="H49" s="38" t="n">
        <v>1</v>
      </c>
      <c r="I49" s="33" t="n">
        <v>2</v>
      </c>
      <c r="J49" s="33" t="n">
        <v>2</v>
      </c>
      <c r="K49" s="33" t="n">
        <v>2</v>
      </c>
      <c r="L49" s="34" t="n">
        <f aca="false">$D49*F49*$F$5*(1-$F$6)</f>
        <v>47.75</v>
      </c>
      <c r="M49" s="34" t="n">
        <f aca="false">$D49*G49*$F$5*(1-$F$6)</f>
        <v>47.75</v>
      </c>
      <c r="N49" s="34" t="n">
        <f aca="false">$D49*H49*$F$5*(1-$F$6)</f>
        <v>47.75</v>
      </c>
      <c r="O49" s="35" t="n">
        <f aca="false">$D49*I49*$F$5*(1-$F$6)</f>
        <v>95.5</v>
      </c>
      <c r="P49" s="35" t="n">
        <f aca="false">$D49*J49*$F$5*(1-$F$6)</f>
        <v>95.5</v>
      </c>
      <c r="Q49" s="35" t="n">
        <f aca="false">$D49*K49*$F$5*(1-$F$6)</f>
        <v>95.5</v>
      </c>
      <c r="R49" s="36" t="s">
        <v>183</v>
      </c>
      <c r="S49" s="37"/>
    </row>
    <row r="50" customFormat="false" ht="22.35" hidden="false" customHeight="false" outlineLevel="0" collapsed="false">
      <c r="A50" s="30" t="n">
        <v>19</v>
      </c>
      <c r="B50" s="7" t="s">
        <v>184</v>
      </c>
      <c r="C50" s="7" t="s">
        <v>185</v>
      </c>
      <c r="D50" s="40" t="n">
        <v>3.22</v>
      </c>
      <c r="E50" s="30" t="s">
        <v>157</v>
      </c>
      <c r="F50" s="41" t="n">
        <f aca="false">MAX(0,F27-5)</f>
        <v>0</v>
      </c>
      <c r="G50" s="41" t="n">
        <f aca="false">MAX(0,G27-5)</f>
        <v>0</v>
      </c>
      <c r="H50" s="41" t="n">
        <f aca="false">MAX(0,H27-5)</f>
        <v>0</v>
      </c>
      <c r="I50" s="42" t="n">
        <f aca="false">MAX(0,F27*1.5-5)</f>
        <v>0</v>
      </c>
      <c r="J50" s="42" t="n">
        <f aca="false">MAX(0,G27*1.5-5)</f>
        <v>0</v>
      </c>
      <c r="K50" s="42" t="n">
        <f aca="false">MAX(0,H27*1.5-5)</f>
        <v>0</v>
      </c>
      <c r="L50" s="34" t="n">
        <f aca="false">$D50*F50*$F$5*(1-$F$6)</f>
        <v>0</v>
      </c>
      <c r="M50" s="34" t="n">
        <f aca="false">$D50*G50*$F$5*(1-$F$6)</f>
        <v>0</v>
      </c>
      <c r="N50" s="34" t="n">
        <f aca="false">$D50*H50*$F$5*(1-$F$6)</f>
        <v>0</v>
      </c>
      <c r="O50" s="35" t="n">
        <f aca="false">$D50*I50*$F$5*(1-$F$6)</f>
        <v>0</v>
      </c>
      <c r="P50" s="35" t="n">
        <f aca="false">$D50*J50*$F$5*(1-$F$6)</f>
        <v>0</v>
      </c>
      <c r="Q50" s="35" t="n">
        <f aca="false">$D50*K50*$F$5*(1-$F$6)</f>
        <v>0</v>
      </c>
      <c r="R50" s="36" t="s">
        <v>186</v>
      </c>
      <c r="S50" s="37"/>
    </row>
    <row r="51" customFormat="false" ht="15" hidden="false" customHeight="false" outlineLevel="0" collapsed="false">
      <c r="A51" s="30" t="n">
        <v>20</v>
      </c>
      <c r="B51" s="7" t="s">
        <v>187</v>
      </c>
      <c r="C51" s="7" t="s">
        <v>188</v>
      </c>
      <c r="D51" s="40" t="n">
        <v>0.14</v>
      </c>
      <c r="E51" s="30" t="s">
        <v>189</v>
      </c>
      <c r="F51" s="38" t="n">
        <v>0</v>
      </c>
      <c r="G51" s="38" t="n">
        <v>0</v>
      </c>
      <c r="H51" s="38" t="n">
        <v>0</v>
      </c>
      <c r="I51" s="42" t="n">
        <f aca="false">F27*1.5*2</f>
        <v>0.439453125</v>
      </c>
      <c r="J51" s="42" t="n">
        <f aca="false">G27*1.5*2</f>
        <v>1.7578125</v>
      </c>
      <c r="K51" s="42" t="n">
        <f aca="false">H27*1.5*2</f>
        <v>8.7890625</v>
      </c>
      <c r="L51" s="34" t="n">
        <f aca="false">$D51*F51*$F$5*(1-$F$6)</f>
        <v>0</v>
      </c>
      <c r="M51" s="34" t="n">
        <f aca="false">$D51*G51*$F$5*(1-$F$6)</f>
        <v>0</v>
      </c>
      <c r="N51" s="34" t="n">
        <f aca="false">$D51*H51*$F$5*(1-$F$6)</f>
        <v>0</v>
      </c>
      <c r="O51" s="35" t="n">
        <f aca="false">$D51*I51*$F$5*(1-$F$6)</f>
        <v>5.87548828125</v>
      </c>
      <c r="P51" s="35" t="n">
        <f aca="false">$D51*J51*$F$5*(1-$F$6)</f>
        <v>23.501953125</v>
      </c>
      <c r="Q51" s="35" t="n">
        <f aca="false">$D51*K51*$F$5*(1-$F$6)</f>
        <v>117.509765625</v>
      </c>
      <c r="R51" s="36" t="s">
        <v>190</v>
      </c>
      <c r="S51" s="37"/>
    </row>
    <row r="52" customFormat="false" ht="15" hidden="false" customHeight="false" outlineLevel="0" collapsed="false">
      <c r="A52" s="30" t="n">
        <v>21</v>
      </c>
      <c r="B52" s="7" t="s">
        <v>191</v>
      </c>
      <c r="C52" s="7" t="s">
        <v>192</v>
      </c>
      <c r="D52" s="40" t="n">
        <v>0</v>
      </c>
      <c r="E52" s="30" t="s">
        <v>157</v>
      </c>
      <c r="F52" s="41" t="n">
        <f aca="false">F25</f>
        <v>1.46484375</v>
      </c>
      <c r="G52" s="41" t="n">
        <f aca="false">G25</f>
        <v>5.859375</v>
      </c>
      <c r="H52" s="41" t="n">
        <f aca="false">H25</f>
        <v>29.296875</v>
      </c>
      <c r="I52" s="42" t="n">
        <f aca="false">F25</f>
        <v>1.46484375</v>
      </c>
      <c r="J52" s="42" t="n">
        <f aca="false">G25</f>
        <v>5.859375</v>
      </c>
      <c r="K52" s="42" t="n">
        <f aca="false">H25</f>
        <v>29.296875</v>
      </c>
      <c r="L52" s="34" t="n">
        <f aca="false">$D52*F52*$F$5*(1-$F$6)</f>
        <v>0</v>
      </c>
      <c r="M52" s="34" t="n">
        <f aca="false">$D52*G52*$F$5*(1-$F$6)</f>
        <v>0</v>
      </c>
      <c r="N52" s="34" t="n">
        <f aca="false">$D52*H52*$F$5*(1-$F$6)</f>
        <v>0</v>
      </c>
      <c r="O52" s="35" t="n">
        <f aca="false">$D52*I52*$F$5*(1-$F$6)</f>
        <v>0</v>
      </c>
      <c r="P52" s="35" t="n">
        <f aca="false">$D52*J52*$F$5*(1-$F$6)</f>
        <v>0</v>
      </c>
      <c r="Q52" s="35" t="n">
        <f aca="false">$D52*K52*$F$5*(1-$F$6)</f>
        <v>0</v>
      </c>
      <c r="R52" s="36" t="s">
        <v>193</v>
      </c>
      <c r="S52" s="37"/>
    </row>
    <row r="53" customFormat="false" ht="15" hidden="false" customHeight="false" outlineLevel="0" collapsed="false">
      <c r="A53" s="30" t="n">
        <v>22</v>
      </c>
      <c r="B53" s="7" t="s">
        <v>194</v>
      </c>
      <c r="C53" s="7" t="s">
        <v>195</v>
      </c>
      <c r="D53" s="40" t="n">
        <v>0</v>
      </c>
      <c r="E53" s="30" t="s">
        <v>196</v>
      </c>
      <c r="F53" s="38" t="n">
        <v>1</v>
      </c>
      <c r="G53" s="38" t="n">
        <v>1</v>
      </c>
      <c r="H53" s="38" t="n">
        <v>1</v>
      </c>
      <c r="I53" s="33" t="n">
        <v>1</v>
      </c>
      <c r="J53" s="33" t="n">
        <v>1</v>
      </c>
      <c r="K53" s="33" t="n">
        <v>1</v>
      </c>
      <c r="L53" s="34" t="n">
        <f aca="false">$D53*F53*$F$5*(1-$F$6)</f>
        <v>0</v>
      </c>
      <c r="M53" s="34" t="n">
        <f aca="false">$D53*G53*$F$5*(1-$F$6)</f>
        <v>0</v>
      </c>
      <c r="N53" s="34" t="n">
        <f aca="false">$D53*H53*$F$5*(1-$F$6)</f>
        <v>0</v>
      </c>
      <c r="O53" s="35" t="n">
        <f aca="false">$D53*I53*$F$5*(1-$F$6)</f>
        <v>0</v>
      </c>
      <c r="P53" s="35" t="n">
        <f aca="false">$D53*J53*$F$5*(1-$F$6)</f>
        <v>0</v>
      </c>
      <c r="Q53" s="35" t="n">
        <f aca="false">$D53*K53*$F$5*(1-$F$6)</f>
        <v>0</v>
      </c>
      <c r="R53" s="36" t="s">
        <v>197</v>
      </c>
      <c r="S53" s="37"/>
    </row>
    <row r="54" customFormat="false" ht="23.85" hidden="false" customHeight="false" outlineLevel="0" collapsed="false">
      <c r="A54" s="30" t="n">
        <v>23</v>
      </c>
      <c r="B54" s="7" t="s">
        <v>198</v>
      </c>
      <c r="C54" s="7" t="s">
        <v>199</v>
      </c>
      <c r="D54" s="40" t="n">
        <v>0</v>
      </c>
      <c r="E54" s="30" t="s">
        <v>196</v>
      </c>
      <c r="F54" s="38" t="n">
        <v>1</v>
      </c>
      <c r="G54" s="38" t="n">
        <v>1</v>
      </c>
      <c r="H54" s="38" t="n">
        <v>1</v>
      </c>
      <c r="I54" s="33" t="n">
        <v>1</v>
      </c>
      <c r="J54" s="33" t="n">
        <v>1</v>
      </c>
      <c r="K54" s="33" t="n">
        <v>1</v>
      </c>
      <c r="L54" s="34" t="n">
        <f aca="false">$D54*F54*$F$5*(1-$F$6)</f>
        <v>0</v>
      </c>
      <c r="M54" s="34" t="n">
        <f aca="false">$D54*G54*$F$5*(1-$F$6)</f>
        <v>0</v>
      </c>
      <c r="N54" s="34" t="n">
        <f aca="false">$D54*H54*$F$5*(1-$F$6)</f>
        <v>0</v>
      </c>
      <c r="O54" s="35" t="n">
        <f aca="false">$D54*I54*$F$5*(1-$F$6)</f>
        <v>0</v>
      </c>
      <c r="P54" s="35" t="n">
        <f aca="false">$D54*J54*$F$5*(1-$F$6)</f>
        <v>0</v>
      </c>
      <c r="Q54" s="35" t="n">
        <f aca="false">$D54*K54*$F$5*(1-$F$6)</f>
        <v>0</v>
      </c>
      <c r="R54" s="36" t="s">
        <v>200</v>
      </c>
      <c r="S54" s="37"/>
    </row>
    <row r="55" customFormat="false" ht="23.85" hidden="false" customHeight="false" outlineLevel="0" collapsed="false">
      <c r="A55" s="30" t="n">
        <v>24</v>
      </c>
      <c r="B55" s="7" t="s">
        <v>201</v>
      </c>
      <c r="C55" s="7" t="s">
        <v>202</v>
      </c>
      <c r="D55" s="40" t="n">
        <v>0</v>
      </c>
      <c r="E55" s="30" t="s">
        <v>196</v>
      </c>
      <c r="F55" s="38" t="n">
        <v>1</v>
      </c>
      <c r="G55" s="38" t="n">
        <v>1</v>
      </c>
      <c r="H55" s="38" t="n">
        <v>1</v>
      </c>
      <c r="I55" s="33" t="n">
        <v>1</v>
      </c>
      <c r="J55" s="33" t="n">
        <v>1</v>
      </c>
      <c r="K55" s="33" t="n">
        <v>1</v>
      </c>
      <c r="L55" s="34" t="n">
        <f aca="false">$D55*F55*$F$5*(1-$F$6)</f>
        <v>0</v>
      </c>
      <c r="M55" s="34" t="n">
        <f aca="false">$D55*G55*$F$5*(1-$F$6)</f>
        <v>0</v>
      </c>
      <c r="N55" s="34" t="n">
        <f aca="false">$D55*H55*$F$5*(1-$F$6)</f>
        <v>0</v>
      </c>
      <c r="O55" s="35" t="n">
        <f aca="false">$D55*I55*$F$5*(1-$F$6)</f>
        <v>0</v>
      </c>
      <c r="P55" s="35" t="n">
        <f aca="false">$D55*J55*$F$5*(1-$F$6)</f>
        <v>0</v>
      </c>
      <c r="Q55" s="35" t="n">
        <f aca="false">$D55*K55*$F$5*(1-$F$6)</f>
        <v>0</v>
      </c>
      <c r="R55" s="36" t="s">
        <v>203</v>
      </c>
      <c r="S55" s="37"/>
    </row>
    <row r="56" customFormat="false" ht="23.85" hidden="false" customHeight="false" outlineLevel="0" collapsed="false">
      <c r="A56" s="30" t="n">
        <v>25</v>
      </c>
      <c r="B56" s="7" t="s">
        <v>204</v>
      </c>
      <c r="C56" s="7" t="s">
        <v>205</v>
      </c>
      <c r="D56" s="40" t="n">
        <v>0</v>
      </c>
      <c r="E56" s="30" t="s">
        <v>196</v>
      </c>
      <c r="F56" s="38" t="n">
        <v>1</v>
      </c>
      <c r="G56" s="38" t="n">
        <v>1</v>
      </c>
      <c r="H56" s="38" t="n">
        <v>1</v>
      </c>
      <c r="I56" s="33" t="n">
        <v>1</v>
      </c>
      <c r="J56" s="33" t="n">
        <v>1</v>
      </c>
      <c r="K56" s="33" t="n">
        <v>1</v>
      </c>
      <c r="L56" s="34" t="n">
        <f aca="false">$D56*F56*$F$5*(1-$F$6)</f>
        <v>0</v>
      </c>
      <c r="M56" s="34" t="n">
        <f aca="false">$D56*G56*$F$5*(1-$F$6)</f>
        <v>0</v>
      </c>
      <c r="N56" s="34" t="n">
        <f aca="false">$D56*H56*$F$5*(1-$F$6)</f>
        <v>0</v>
      </c>
      <c r="O56" s="35" t="n">
        <f aca="false">$D56*I56*$F$5*(1-$F$6)</f>
        <v>0</v>
      </c>
      <c r="P56" s="35" t="n">
        <f aca="false">$D56*J56*$F$5*(1-$F$6)</f>
        <v>0</v>
      </c>
      <c r="Q56" s="35" t="n">
        <f aca="false">$D56*K56*$F$5*(1-$F$6)</f>
        <v>0</v>
      </c>
      <c r="R56" s="36" t="s">
        <v>206</v>
      </c>
      <c r="S56" s="37"/>
    </row>
    <row r="57" customFormat="false" ht="15" hidden="false" customHeight="true" outlineLevel="0" collapsed="false">
      <c r="B57" s="11" t="s">
        <v>207</v>
      </c>
      <c r="C57" s="11"/>
      <c r="D57" s="11"/>
      <c r="E57" s="11"/>
      <c r="L57" s="12" t="n">
        <f aca="false">SUM(L32:L56)</f>
        <v>2060.20702578125</v>
      </c>
      <c r="M57" s="12" t="n">
        <f aca="false">SUM(M32:M56)</f>
        <v>2068.185603125</v>
      </c>
      <c r="N57" s="12" t="n">
        <f aca="false">SUM(N32:N56)</f>
        <v>2110.738015625</v>
      </c>
      <c r="O57" s="12" t="n">
        <f aca="false">SUM(O32:O56)</f>
        <v>11424.1819192188</v>
      </c>
      <c r="P57" s="12" t="n">
        <f aca="false">SUM(P32:P56)</f>
        <v>11451.382676875</v>
      </c>
      <c r="Q57" s="12" t="n">
        <f aca="false">SUM(Q32:Q56)</f>
        <v>18707.383384375</v>
      </c>
      <c r="S57" s="12" t="str">
        <f aca="false">IF(COUNT(S32:S56)=0,"",SUM(S32:S56))</f>
        <v/>
      </c>
    </row>
  </sheetData>
  <mergeCells count="45">
    <mergeCell ref="B5:E5"/>
    <mergeCell ref="G5:Q5"/>
    <mergeCell ref="B6:E6"/>
    <mergeCell ref="G6:Q6"/>
    <mergeCell ref="B7:E7"/>
    <mergeCell ref="G7:Q7"/>
    <mergeCell ref="I9:Q9"/>
    <mergeCell ref="B10:E10"/>
    <mergeCell ref="I10:Q10"/>
    <mergeCell ref="B11:E11"/>
    <mergeCell ref="I11:Q11"/>
    <mergeCell ref="B12:E12"/>
    <mergeCell ref="I12:Q12"/>
    <mergeCell ref="B13:E13"/>
    <mergeCell ref="I13:Q13"/>
    <mergeCell ref="B14:E14"/>
    <mergeCell ref="I14:Q14"/>
    <mergeCell ref="B15:E15"/>
    <mergeCell ref="I15:Q15"/>
    <mergeCell ref="B16:E16"/>
    <mergeCell ref="I16:Q16"/>
    <mergeCell ref="B17:E17"/>
    <mergeCell ref="I17:Q17"/>
    <mergeCell ref="B18:E18"/>
    <mergeCell ref="I18:Q18"/>
    <mergeCell ref="B19:E19"/>
    <mergeCell ref="I19:Q19"/>
    <mergeCell ref="B20:E20"/>
    <mergeCell ref="I20:Q20"/>
    <mergeCell ref="B21:E21"/>
    <mergeCell ref="I21:Q21"/>
    <mergeCell ref="B22:E22"/>
    <mergeCell ref="I22:Q22"/>
    <mergeCell ref="B23:E23"/>
    <mergeCell ref="I23:Q23"/>
    <mergeCell ref="B24:E24"/>
    <mergeCell ref="I24:Q24"/>
    <mergeCell ref="B25:E25"/>
    <mergeCell ref="I25:Q25"/>
    <mergeCell ref="B26:E26"/>
    <mergeCell ref="I26:Q26"/>
    <mergeCell ref="B27:E27"/>
    <mergeCell ref="I27:Q27"/>
    <mergeCell ref="F30:K30"/>
    <mergeCell ref="B57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23.85" hidden="false" customHeight="false" outlineLevel="0" collapsed="false">
      <c r="A4" s="4" t="s">
        <v>104</v>
      </c>
      <c r="B4" s="4" t="s">
        <v>210</v>
      </c>
      <c r="C4" s="4" t="s">
        <v>211</v>
      </c>
      <c r="D4" s="4" t="s">
        <v>212</v>
      </c>
      <c r="E4" s="4" t="s">
        <v>213</v>
      </c>
      <c r="F4" s="4" t="s">
        <v>214</v>
      </c>
      <c r="G4" s="4" t="s">
        <v>215</v>
      </c>
      <c r="H4" s="4" t="s">
        <v>216</v>
      </c>
    </row>
    <row r="5" customFormat="false" ht="39.75" hidden="false" customHeight="true" outlineLevel="0" collapsed="false">
      <c r="A5" s="30" t="n">
        <v>1</v>
      </c>
      <c r="B5" s="7" t="s">
        <v>217</v>
      </c>
      <c r="C5" s="7" t="s">
        <v>218</v>
      </c>
      <c r="D5" s="7" t="s">
        <v>219</v>
      </c>
      <c r="E5" s="7" t="s">
        <v>220</v>
      </c>
      <c r="F5" s="30" t="s">
        <v>221</v>
      </c>
      <c r="G5" s="30" t="s">
        <v>222</v>
      </c>
      <c r="H5" s="30" t="s">
        <v>223</v>
      </c>
    </row>
    <row r="6" customFormat="false" ht="39.75" hidden="false" customHeight="true" outlineLevel="0" collapsed="false">
      <c r="A6" s="30" t="n">
        <v>2</v>
      </c>
      <c r="B6" s="7" t="s">
        <v>224</v>
      </c>
      <c r="C6" s="7" t="s">
        <v>225</v>
      </c>
      <c r="D6" s="7" t="s">
        <v>226</v>
      </c>
      <c r="E6" s="7" t="s">
        <v>227</v>
      </c>
      <c r="F6" s="30" t="s">
        <v>228</v>
      </c>
      <c r="G6" s="30" t="s">
        <v>229</v>
      </c>
      <c r="H6" s="30" t="s">
        <v>230</v>
      </c>
    </row>
    <row r="7" customFormat="false" ht="39.75" hidden="false" customHeight="true" outlineLevel="0" collapsed="false">
      <c r="A7" s="30" t="n">
        <v>3</v>
      </c>
      <c r="B7" s="7" t="s">
        <v>231</v>
      </c>
      <c r="C7" s="7" t="s">
        <v>232</v>
      </c>
      <c r="D7" s="7" t="s">
        <v>233</v>
      </c>
      <c r="E7" s="7" t="s">
        <v>234</v>
      </c>
      <c r="F7" s="30" t="s">
        <v>235</v>
      </c>
      <c r="G7" s="30" t="s">
        <v>236</v>
      </c>
      <c r="H7" s="30" t="s">
        <v>230</v>
      </c>
    </row>
    <row r="8" customFormat="false" ht="39.75" hidden="false" customHeight="true" outlineLevel="0" collapsed="false">
      <c r="A8" s="30" t="n">
        <v>4</v>
      </c>
      <c r="B8" s="7" t="s">
        <v>237</v>
      </c>
      <c r="C8" s="7" t="s">
        <v>238</v>
      </c>
      <c r="D8" s="7" t="s">
        <v>239</v>
      </c>
      <c r="E8" s="7" t="s">
        <v>240</v>
      </c>
      <c r="F8" s="30" t="s">
        <v>228</v>
      </c>
      <c r="G8" s="30" t="s">
        <v>241</v>
      </c>
      <c r="H8" s="30" t="s">
        <v>230</v>
      </c>
    </row>
    <row r="9" customFormat="false" ht="39.75" hidden="false" customHeight="true" outlineLevel="0" collapsed="false">
      <c r="A9" s="30" t="n">
        <v>5</v>
      </c>
      <c r="B9" s="7" t="s">
        <v>242</v>
      </c>
      <c r="C9" s="7" t="s">
        <v>243</v>
      </c>
      <c r="D9" s="7" t="s">
        <v>244</v>
      </c>
      <c r="E9" s="7" t="s">
        <v>245</v>
      </c>
      <c r="F9" s="30" t="s">
        <v>246</v>
      </c>
      <c r="G9" s="30" t="s">
        <v>247</v>
      </c>
      <c r="H9" s="30" t="s">
        <v>248</v>
      </c>
    </row>
    <row r="10" customFormat="false" ht="39.75" hidden="false" customHeight="true" outlineLevel="0" collapsed="false">
      <c r="A10" s="30" t="n">
        <v>6</v>
      </c>
      <c r="B10" s="7" t="s">
        <v>249</v>
      </c>
      <c r="C10" s="7" t="s">
        <v>250</v>
      </c>
      <c r="D10" s="7" t="s">
        <v>251</v>
      </c>
      <c r="E10" s="7" t="s">
        <v>252</v>
      </c>
      <c r="F10" s="30" t="s">
        <v>253</v>
      </c>
      <c r="G10" s="30" t="s">
        <v>254</v>
      </c>
      <c r="H10" s="30" t="s">
        <v>255</v>
      </c>
    </row>
    <row r="11" customFormat="false" ht="39.75" hidden="false" customHeight="true" outlineLevel="0" collapsed="false">
      <c r="A11" s="30" t="n">
        <v>7</v>
      </c>
      <c r="B11" s="7" t="s">
        <v>256</v>
      </c>
      <c r="C11" s="7" t="s">
        <v>257</v>
      </c>
      <c r="D11" s="7" t="s">
        <v>258</v>
      </c>
      <c r="E11" s="7" t="s">
        <v>259</v>
      </c>
      <c r="F11" s="30" t="s">
        <v>228</v>
      </c>
      <c r="G11" s="30" t="s">
        <v>260</v>
      </c>
      <c r="H11" s="30" t="s">
        <v>261</v>
      </c>
    </row>
    <row r="12" customFormat="false" ht="39.75" hidden="false" customHeight="true" outlineLevel="0" collapsed="false">
      <c r="A12" s="30" t="n">
        <v>8</v>
      </c>
      <c r="B12" s="7" t="s">
        <v>262</v>
      </c>
      <c r="C12" s="7" t="s">
        <v>263</v>
      </c>
      <c r="D12" s="7" t="s">
        <v>264</v>
      </c>
      <c r="E12" s="7" t="s">
        <v>265</v>
      </c>
      <c r="F12" s="30" t="s">
        <v>228</v>
      </c>
      <c r="G12" s="30" t="s">
        <v>266</v>
      </c>
      <c r="H12" s="30" t="s">
        <v>267</v>
      </c>
    </row>
    <row r="13" customFormat="false" ht="39.75" hidden="false" customHeight="true" outlineLevel="0" collapsed="false">
      <c r="A13" s="30" t="n">
        <v>9</v>
      </c>
      <c r="B13" s="7" t="s">
        <v>268</v>
      </c>
      <c r="C13" s="7" t="s">
        <v>269</v>
      </c>
      <c r="D13" s="7" t="s">
        <v>270</v>
      </c>
      <c r="E13" s="7" t="s">
        <v>271</v>
      </c>
      <c r="F13" s="30" t="s">
        <v>196</v>
      </c>
      <c r="G13" s="30" t="s">
        <v>272</v>
      </c>
      <c r="H13" s="30" t="s">
        <v>273</v>
      </c>
    </row>
    <row r="14" customFormat="false" ht="39.75" hidden="false" customHeight="true" outlineLevel="0" collapsed="false">
      <c r="A14" s="30" t="n">
        <v>10</v>
      </c>
      <c r="B14" s="7" t="s">
        <v>274</v>
      </c>
      <c r="C14" s="7" t="s">
        <v>275</v>
      </c>
      <c r="D14" s="7" t="s">
        <v>276</v>
      </c>
      <c r="E14" s="7" t="s">
        <v>277</v>
      </c>
      <c r="F14" s="30" t="s">
        <v>196</v>
      </c>
      <c r="G14" s="30" t="s">
        <v>278</v>
      </c>
      <c r="H14" s="30" t="s">
        <v>273</v>
      </c>
    </row>
    <row r="15" customFormat="false" ht="39.75" hidden="false" customHeight="true" outlineLevel="0" collapsed="false">
      <c r="A15" s="30" t="n">
        <v>11</v>
      </c>
      <c r="B15" s="7" t="s">
        <v>279</v>
      </c>
      <c r="C15" s="7" t="s">
        <v>280</v>
      </c>
      <c r="D15" s="7" t="s">
        <v>281</v>
      </c>
      <c r="E15" s="7" t="s">
        <v>282</v>
      </c>
      <c r="F15" s="30" t="s">
        <v>283</v>
      </c>
      <c r="G15" s="30" t="s">
        <v>284</v>
      </c>
      <c r="H15" s="30" t="s">
        <v>273</v>
      </c>
    </row>
    <row r="17" customFormat="false" ht="15" hidden="false" customHeight="false" outlineLevel="0" collapsed="false">
      <c r="B17" s="3" t="s">
        <v>285</v>
      </c>
    </row>
    <row r="18" customFormat="false" ht="18" hidden="false" customHeight="true" outlineLevel="0" collapsed="false">
      <c r="B18" s="17" t="s">
        <v>286</v>
      </c>
      <c r="C18" s="17"/>
      <c r="D18" s="17"/>
      <c r="E18" s="17"/>
      <c r="F18" s="17"/>
      <c r="G18" s="17"/>
      <c r="H18" s="17"/>
    </row>
    <row r="19" customFormat="false" ht="18" hidden="false" customHeight="true" outlineLevel="0" collapsed="false">
      <c r="B19" s="17" t="s">
        <v>287</v>
      </c>
      <c r="C19" s="17"/>
      <c r="D19" s="17"/>
      <c r="E19" s="17"/>
      <c r="F19" s="17"/>
      <c r="G19" s="17"/>
      <c r="H19" s="17"/>
    </row>
    <row r="20" customFormat="false" ht="18" hidden="false" customHeight="true" outlineLevel="0" collapsed="false">
      <c r="B20" s="17" t="s">
        <v>288</v>
      </c>
      <c r="C20" s="17"/>
      <c r="D20" s="17"/>
      <c r="E20" s="17"/>
      <c r="F20" s="17"/>
      <c r="G20" s="17"/>
      <c r="H20" s="17"/>
    </row>
    <row r="21" customFormat="false" ht="18" hidden="false" customHeight="true" outlineLevel="0" collapsed="false">
      <c r="B21" s="17" t="s">
        <v>289</v>
      </c>
      <c r="C21" s="17"/>
      <c r="D21" s="17"/>
      <c r="E21" s="17"/>
      <c r="F21" s="17"/>
      <c r="G21" s="17"/>
      <c r="H21" s="17"/>
    </row>
  </sheetData>
  <mergeCells count="4">
    <mergeCell ref="B18:H18"/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20"/>
    <col collapsed="false" customWidth="true" hidden="false" outlineLevel="0" max="6" min="6" style="0" width="32"/>
    <col collapsed="false" customWidth="true" hidden="false" outlineLevel="0" max="20" min="7" style="0" width="4.5"/>
    <col collapsed="false" customWidth="true" hidden="false" outlineLevel="0" max="21" min="21" style="0" width="13"/>
  </cols>
  <sheetData>
    <row r="1" customFormat="false" ht="17.35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4" t="s">
        <v>104</v>
      </c>
      <c r="B4" s="4" t="s">
        <v>292</v>
      </c>
      <c r="C4" s="4" t="s">
        <v>293</v>
      </c>
      <c r="D4" s="4" t="s">
        <v>294</v>
      </c>
      <c r="E4" s="4" t="s">
        <v>295</v>
      </c>
      <c r="F4" s="4" t="s">
        <v>296</v>
      </c>
      <c r="G4" s="4" t="s">
        <v>297</v>
      </c>
      <c r="H4" s="4" t="s">
        <v>298</v>
      </c>
      <c r="I4" s="4" t="s">
        <v>299</v>
      </c>
      <c r="J4" s="4" t="s">
        <v>300</v>
      </c>
      <c r="K4" s="4" t="s">
        <v>301</v>
      </c>
      <c r="L4" s="4" t="s">
        <v>302</v>
      </c>
      <c r="M4" s="4" t="s">
        <v>303</v>
      </c>
      <c r="N4" s="4" t="s">
        <v>304</v>
      </c>
      <c r="O4" s="4" t="s">
        <v>305</v>
      </c>
      <c r="P4" s="4" t="s">
        <v>306</v>
      </c>
      <c r="Q4" s="4" t="s">
        <v>307</v>
      </c>
      <c r="R4" s="4" t="s">
        <v>308</v>
      </c>
      <c r="S4" s="4" t="s">
        <v>309</v>
      </c>
      <c r="T4" s="4" t="s">
        <v>310</v>
      </c>
      <c r="U4" s="4" t="s">
        <v>311</v>
      </c>
    </row>
    <row r="5" customFormat="false" ht="30" hidden="false" customHeight="true" outlineLevel="0" collapsed="false">
      <c r="A5" s="30" t="n">
        <v>1</v>
      </c>
      <c r="B5" s="7" t="s">
        <v>312</v>
      </c>
      <c r="C5" s="7" t="s">
        <v>313</v>
      </c>
      <c r="D5" s="7" t="s">
        <v>314</v>
      </c>
      <c r="E5" s="7" t="s">
        <v>315</v>
      </c>
      <c r="F5" s="7" t="s">
        <v>316</v>
      </c>
      <c r="G5" s="43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 t="s">
        <v>317</v>
      </c>
    </row>
    <row r="6" customFormat="false" ht="30" hidden="false" customHeight="true" outlineLevel="0" collapsed="false">
      <c r="A6" s="30" t="n">
        <v>2</v>
      </c>
      <c r="B6" s="7" t="s">
        <v>312</v>
      </c>
      <c r="C6" s="7" t="s">
        <v>313</v>
      </c>
      <c r="D6" s="7" t="s">
        <v>318</v>
      </c>
      <c r="E6" s="7" t="s">
        <v>319</v>
      </c>
      <c r="F6" s="7" t="s">
        <v>320</v>
      </c>
      <c r="G6" s="43"/>
      <c r="H6" s="43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 t="s">
        <v>317</v>
      </c>
    </row>
    <row r="7" customFormat="false" ht="30" hidden="false" customHeight="true" outlineLevel="0" collapsed="false">
      <c r="A7" s="30" t="n">
        <v>3</v>
      </c>
      <c r="B7" s="7" t="s">
        <v>312</v>
      </c>
      <c r="C7" s="7" t="s">
        <v>313</v>
      </c>
      <c r="D7" s="7" t="s">
        <v>321</v>
      </c>
      <c r="E7" s="7" t="s">
        <v>322</v>
      </c>
      <c r="F7" s="7" t="s">
        <v>323</v>
      </c>
      <c r="G7" s="43"/>
      <c r="H7" s="43"/>
      <c r="I7" s="43"/>
      <c r="J7" s="43"/>
      <c r="K7" s="43"/>
      <c r="L7" s="30"/>
      <c r="M7" s="30"/>
      <c r="N7" s="30"/>
      <c r="O7" s="30"/>
      <c r="P7" s="30"/>
      <c r="Q7" s="30"/>
      <c r="R7" s="30"/>
      <c r="S7" s="30"/>
      <c r="T7" s="30"/>
      <c r="U7" s="30" t="s">
        <v>317</v>
      </c>
    </row>
    <row r="8" customFormat="false" ht="30" hidden="false" customHeight="true" outlineLevel="0" collapsed="false">
      <c r="A8" s="30" t="n">
        <v>4</v>
      </c>
      <c r="B8" s="7" t="s">
        <v>312</v>
      </c>
      <c r="C8" s="7" t="s">
        <v>313</v>
      </c>
      <c r="D8" s="7" t="s">
        <v>324</v>
      </c>
      <c r="E8" s="7" t="s">
        <v>325</v>
      </c>
      <c r="F8" s="7" t="s">
        <v>326</v>
      </c>
      <c r="G8" s="43"/>
      <c r="H8" s="43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 t="s">
        <v>317</v>
      </c>
    </row>
    <row r="9" customFormat="false" ht="30" hidden="false" customHeight="true" outlineLevel="0" collapsed="false">
      <c r="A9" s="30" t="n">
        <v>5</v>
      </c>
      <c r="B9" s="7" t="s">
        <v>327</v>
      </c>
      <c r="C9" s="7" t="s">
        <v>328</v>
      </c>
      <c r="D9" s="7" t="s">
        <v>329</v>
      </c>
      <c r="E9" s="7" t="s">
        <v>330</v>
      </c>
      <c r="F9" s="7" t="s">
        <v>331</v>
      </c>
      <c r="G9" s="44"/>
      <c r="H9" s="44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 t="s">
        <v>317</v>
      </c>
    </row>
    <row r="10" customFormat="false" ht="30" hidden="false" customHeight="true" outlineLevel="0" collapsed="false">
      <c r="A10" s="30" t="n">
        <v>6</v>
      </c>
      <c r="B10" s="7" t="s">
        <v>327</v>
      </c>
      <c r="C10" s="7" t="s">
        <v>328</v>
      </c>
      <c r="D10" s="7" t="s">
        <v>332</v>
      </c>
      <c r="E10" s="7" t="s">
        <v>330</v>
      </c>
      <c r="F10" s="7" t="s">
        <v>333</v>
      </c>
      <c r="G10" s="44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 t="s">
        <v>317</v>
      </c>
    </row>
    <row r="11" customFormat="false" ht="30" hidden="false" customHeight="true" outlineLevel="0" collapsed="false">
      <c r="A11" s="30" t="n">
        <v>7</v>
      </c>
      <c r="B11" s="7" t="s">
        <v>327</v>
      </c>
      <c r="C11" s="7" t="s">
        <v>334</v>
      </c>
      <c r="D11" s="7" t="s">
        <v>335</v>
      </c>
      <c r="E11" s="7" t="s">
        <v>330</v>
      </c>
      <c r="F11" s="7" t="s">
        <v>336</v>
      </c>
      <c r="G11" s="44"/>
      <c r="H11" s="44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 t="s">
        <v>317</v>
      </c>
    </row>
    <row r="12" customFormat="false" ht="30" hidden="false" customHeight="true" outlineLevel="0" collapsed="false">
      <c r="A12" s="30" t="n">
        <v>8</v>
      </c>
      <c r="B12" s="7" t="s">
        <v>327</v>
      </c>
      <c r="C12" s="7" t="s">
        <v>334</v>
      </c>
      <c r="D12" s="7" t="s">
        <v>337</v>
      </c>
      <c r="E12" s="7" t="s">
        <v>330</v>
      </c>
      <c r="F12" s="7" t="s">
        <v>338</v>
      </c>
      <c r="G12" s="44"/>
      <c r="H12" s="44"/>
      <c r="I12" s="44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 t="s">
        <v>317</v>
      </c>
    </row>
    <row r="13" customFormat="false" ht="30" hidden="false" customHeight="true" outlineLevel="0" collapsed="false">
      <c r="A13" s="30" t="n">
        <v>9</v>
      </c>
      <c r="B13" s="7" t="s">
        <v>327</v>
      </c>
      <c r="C13" s="7" t="s">
        <v>334</v>
      </c>
      <c r="D13" s="7" t="s">
        <v>339</v>
      </c>
      <c r="E13" s="7" t="s">
        <v>330</v>
      </c>
      <c r="F13" s="7" t="s">
        <v>340</v>
      </c>
      <c r="G13" s="30"/>
      <c r="H13" s="44"/>
      <c r="I13" s="44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 t="s">
        <v>317</v>
      </c>
    </row>
    <row r="14" customFormat="false" ht="30" hidden="false" customHeight="true" outlineLevel="0" collapsed="false">
      <c r="A14" s="30" t="n">
        <v>10</v>
      </c>
      <c r="B14" s="7" t="s">
        <v>341</v>
      </c>
      <c r="C14" s="7" t="s">
        <v>342</v>
      </c>
      <c r="D14" s="7" t="s">
        <v>343</v>
      </c>
      <c r="E14" s="7" t="s">
        <v>344</v>
      </c>
      <c r="F14" s="7" t="s">
        <v>345</v>
      </c>
      <c r="G14" s="30"/>
      <c r="H14" s="30"/>
      <c r="I14" s="45"/>
      <c r="J14" s="45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 t="s">
        <v>317</v>
      </c>
    </row>
    <row r="15" customFormat="false" ht="30" hidden="false" customHeight="true" outlineLevel="0" collapsed="false">
      <c r="A15" s="30" t="n">
        <v>11</v>
      </c>
      <c r="B15" s="7" t="s">
        <v>341</v>
      </c>
      <c r="C15" s="7" t="s">
        <v>342</v>
      </c>
      <c r="D15" s="7" t="s">
        <v>346</v>
      </c>
      <c r="E15" s="7" t="s">
        <v>347</v>
      </c>
      <c r="F15" s="7" t="s">
        <v>348</v>
      </c>
      <c r="G15" s="30"/>
      <c r="H15" s="30"/>
      <c r="I15" s="45"/>
      <c r="J15" s="45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 t="s">
        <v>317</v>
      </c>
    </row>
    <row r="16" customFormat="false" ht="30" hidden="false" customHeight="true" outlineLevel="0" collapsed="false">
      <c r="A16" s="30" t="n">
        <v>12</v>
      </c>
      <c r="B16" s="7" t="s">
        <v>341</v>
      </c>
      <c r="C16" s="7" t="s">
        <v>342</v>
      </c>
      <c r="D16" s="7" t="s">
        <v>349</v>
      </c>
      <c r="E16" s="7" t="s">
        <v>330</v>
      </c>
      <c r="F16" s="7" t="s">
        <v>350</v>
      </c>
      <c r="G16" s="30"/>
      <c r="H16" s="30"/>
      <c r="I16" s="30"/>
      <c r="J16" s="45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 t="s">
        <v>317</v>
      </c>
    </row>
    <row r="17" customFormat="false" ht="30" hidden="false" customHeight="true" outlineLevel="0" collapsed="false">
      <c r="A17" s="30" t="n">
        <v>13</v>
      </c>
      <c r="B17" s="7" t="s">
        <v>351</v>
      </c>
      <c r="C17" s="7" t="s">
        <v>352</v>
      </c>
      <c r="D17" s="7" t="s">
        <v>353</v>
      </c>
      <c r="E17" s="7" t="s">
        <v>354</v>
      </c>
      <c r="F17" s="7" t="s">
        <v>355</v>
      </c>
      <c r="G17" s="30"/>
      <c r="H17" s="30"/>
      <c r="I17" s="30"/>
      <c r="J17" s="30"/>
      <c r="K17" s="46"/>
      <c r="L17" s="46"/>
      <c r="M17" s="46"/>
      <c r="N17" s="46"/>
      <c r="O17" s="30"/>
      <c r="P17" s="30"/>
      <c r="Q17" s="30"/>
      <c r="R17" s="30"/>
      <c r="S17" s="30"/>
      <c r="T17" s="30"/>
      <c r="U17" s="30" t="s">
        <v>317</v>
      </c>
    </row>
    <row r="18" customFormat="false" ht="30" hidden="false" customHeight="true" outlineLevel="0" collapsed="false">
      <c r="A18" s="30" t="n">
        <v>14</v>
      </c>
      <c r="B18" s="7" t="s">
        <v>356</v>
      </c>
      <c r="C18" s="7" t="s">
        <v>357</v>
      </c>
      <c r="D18" s="7" t="s">
        <v>358</v>
      </c>
      <c r="E18" s="7" t="s">
        <v>359</v>
      </c>
      <c r="F18" s="7" t="s">
        <v>360</v>
      </c>
      <c r="G18" s="30"/>
      <c r="H18" s="30"/>
      <c r="I18" s="30"/>
      <c r="J18" s="30"/>
      <c r="K18" s="30"/>
      <c r="L18" s="30"/>
      <c r="M18" s="30"/>
      <c r="N18" s="30"/>
      <c r="O18" s="46"/>
      <c r="P18" s="46"/>
      <c r="Q18" s="30"/>
      <c r="R18" s="30"/>
      <c r="S18" s="30"/>
      <c r="T18" s="30"/>
      <c r="U18" s="30" t="s">
        <v>317</v>
      </c>
    </row>
    <row r="19" customFormat="false" ht="30" hidden="false" customHeight="true" outlineLevel="0" collapsed="false">
      <c r="A19" s="30" t="n">
        <v>15</v>
      </c>
      <c r="B19" s="7" t="s">
        <v>361</v>
      </c>
      <c r="C19" s="7" t="s">
        <v>357</v>
      </c>
      <c r="D19" s="7" t="s">
        <v>362</v>
      </c>
      <c r="E19" s="7" t="s">
        <v>363</v>
      </c>
      <c r="F19" s="7" t="s">
        <v>364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46"/>
      <c r="R19" s="46"/>
      <c r="S19" s="46"/>
      <c r="T19" s="46"/>
      <c r="U19" s="30" t="s">
        <v>317</v>
      </c>
    </row>
    <row r="20" customFormat="false" ht="30" hidden="false" customHeight="true" outlineLevel="0" collapsed="false">
      <c r="A20" s="30" t="n">
        <v>16</v>
      </c>
      <c r="B20" s="7" t="s">
        <v>365</v>
      </c>
      <c r="C20" s="7" t="s">
        <v>366</v>
      </c>
      <c r="D20" s="7" t="s">
        <v>367</v>
      </c>
      <c r="E20" s="7" t="s">
        <v>330</v>
      </c>
      <c r="F20" s="7" t="s">
        <v>368</v>
      </c>
      <c r="G20" s="30"/>
      <c r="H20" s="30"/>
      <c r="I20" s="30"/>
      <c r="J20" s="30"/>
      <c r="K20" s="30"/>
      <c r="L20" s="30"/>
      <c r="M20" s="30"/>
      <c r="N20" s="30"/>
      <c r="O20" s="47"/>
      <c r="P20" s="47"/>
      <c r="Q20" s="47"/>
      <c r="R20" s="47"/>
      <c r="S20" s="47"/>
      <c r="T20" s="47"/>
      <c r="U20" s="30" t="s">
        <v>317</v>
      </c>
    </row>
  </sheetData>
  <dataValidations count="1">
    <dataValidation allowBlank="true" errorStyle="stop" operator="between" showDropDown="false" showErrorMessage="false" showInputMessage="false" sqref="F5:G15 U5:U20 G16:G19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30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369</v>
      </c>
    </row>
    <row r="2" customFormat="false" ht="15" hidden="false" customHeight="false" outlineLevel="0" collapsed="false">
      <c r="A2" s="2" t="s">
        <v>370</v>
      </c>
    </row>
    <row r="4" customFormat="false" ht="15" hidden="false" customHeight="false" outlineLevel="0" collapsed="false">
      <c r="A4" s="4" t="s">
        <v>104</v>
      </c>
      <c r="B4" s="4" t="s">
        <v>371</v>
      </c>
      <c r="C4" s="4" t="s">
        <v>372</v>
      </c>
      <c r="D4" s="4" t="s">
        <v>373</v>
      </c>
      <c r="E4" s="4" t="s">
        <v>374</v>
      </c>
      <c r="F4" s="4" t="s">
        <v>311</v>
      </c>
    </row>
    <row r="5" customFormat="false" ht="61.5" hidden="false" customHeight="true" outlineLevel="0" collapsed="false">
      <c r="A5" s="30" t="n">
        <v>1</v>
      </c>
      <c r="B5" s="14" t="s">
        <v>375</v>
      </c>
      <c r="C5" s="7" t="s">
        <v>376</v>
      </c>
      <c r="D5" s="7" t="s">
        <v>377</v>
      </c>
      <c r="E5" s="7" t="s">
        <v>378</v>
      </c>
      <c r="F5" s="30" t="s">
        <v>317</v>
      </c>
    </row>
    <row r="6" customFormat="false" ht="61.5" hidden="false" customHeight="true" outlineLevel="0" collapsed="false">
      <c r="A6" s="30" t="n">
        <v>2</v>
      </c>
      <c r="B6" s="14" t="s">
        <v>379</v>
      </c>
      <c r="C6" s="7" t="s">
        <v>380</v>
      </c>
      <c r="D6" s="7" t="s">
        <v>381</v>
      </c>
      <c r="E6" s="7" t="s">
        <v>333</v>
      </c>
      <c r="F6" s="30" t="s">
        <v>317</v>
      </c>
    </row>
    <row r="7" customFormat="false" ht="61.5" hidden="false" customHeight="true" outlineLevel="0" collapsed="false">
      <c r="A7" s="30" t="n">
        <v>3</v>
      </c>
      <c r="B7" s="14" t="s">
        <v>382</v>
      </c>
      <c r="C7" s="7" t="s">
        <v>383</v>
      </c>
      <c r="D7" s="7" t="s">
        <v>384</v>
      </c>
      <c r="E7" s="7" t="s">
        <v>385</v>
      </c>
      <c r="F7" s="30" t="s">
        <v>317</v>
      </c>
    </row>
    <row r="8" customFormat="false" ht="61.5" hidden="false" customHeight="true" outlineLevel="0" collapsed="false">
      <c r="A8" s="30" t="n">
        <v>4</v>
      </c>
      <c r="B8" s="14" t="s">
        <v>386</v>
      </c>
      <c r="C8" s="7" t="s">
        <v>387</v>
      </c>
      <c r="D8" s="7" t="s">
        <v>388</v>
      </c>
      <c r="E8" s="7" t="s">
        <v>389</v>
      </c>
      <c r="F8" s="30" t="s">
        <v>317</v>
      </c>
    </row>
    <row r="9" customFormat="false" ht="61.5" hidden="false" customHeight="true" outlineLevel="0" collapsed="false">
      <c r="A9" s="30" t="n">
        <v>5</v>
      </c>
      <c r="B9" s="14" t="s">
        <v>390</v>
      </c>
      <c r="C9" s="7" t="s">
        <v>391</v>
      </c>
      <c r="D9" s="7" t="s">
        <v>392</v>
      </c>
      <c r="E9" s="7" t="s">
        <v>393</v>
      </c>
      <c r="F9" s="30" t="s">
        <v>317</v>
      </c>
    </row>
    <row r="10" customFormat="false" ht="61.5" hidden="false" customHeight="true" outlineLevel="0" collapsed="false">
      <c r="A10" s="30" t="n">
        <v>6</v>
      </c>
      <c r="B10" s="14" t="s">
        <v>394</v>
      </c>
      <c r="C10" s="7" t="s">
        <v>395</v>
      </c>
      <c r="D10" s="7" t="s">
        <v>396</v>
      </c>
      <c r="E10" s="7" t="s">
        <v>397</v>
      </c>
      <c r="F10" s="30" t="s">
        <v>317</v>
      </c>
    </row>
    <row r="11" customFormat="false" ht="61.5" hidden="false" customHeight="true" outlineLevel="0" collapsed="false">
      <c r="A11" s="30" t="n">
        <v>7</v>
      </c>
      <c r="B11" s="14" t="s">
        <v>398</v>
      </c>
      <c r="C11" s="7" t="s">
        <v>399</v>
      </c>
      <c r="D11" s="7" t="s">
        <v>400</v>
      </c>
      <c r="E11" s="7" t="s">
        <v>401</v>
      </c>
      <c r="F11" s="30" t="s">
        <v>317</v>
      </c>
    </row>
    <row r="12" customFormat="false" ht="61.5" hidden="false" customHeight="true" outlineLevel="0" collapsed="false">
      <c r="A12" s="30" t="n">
        <v>8</v>
      </c>
      <c r="B12" s="14" t="s">
        <v>402</v>
      </c>
      <c r="C12" s="7" t="s">
        <v>403</v>
      </c>
      <c r="D12" s="7" t="s">
        <v>404</v>
      </c>
      <c r="E12" s="7" t="s">
        <v>405</v>
      </c>
      <c r="F12" s="30" t="s">
        <v>317</v>
      </c>
    </row>
    <row r="13" customFormat="false" ht="61.5" hidden="false" customHeight="true" outlineLevel="0" collapsed="false">
      <c r="A13" s="30" t="n">
        <v>9</v>
      </c>
      <c r="B13" s="14" t="s">
        <v>406</v>
      </c>
      <c r="C13" s="7" t="s">
        <v>407</v>
      </c>
      <c r="D13" s="7" t="s">
        <v>408</v>
      </c>
      <c r="E13" s="7" t="s">
        <v>409</v>
      </c>
      <c r="F13" s="30" t="s">
        <v>317</v>
      </c>
    </row>
    <row r="14" customFormat="false" ht="61.5" hidden="false" customHeight="true" outlineLevel="0" collapsed="false">
      <c r="A14" s="30" t="n">
        <v>10</v>
      </c>
      <c r="B14" s="14" t="s">
        <v>410</v>
      </c>
      <c r="C14" s="7" t="s">
        <v>411</v>
      </c>
      <c r="D14" s="7" t="s">
        <v>412</v>
      </c>
      <c r="E14" s="7" t="s">
        <v>413</v>
      </c>
      <c r="F14" s="30" t="s">
        <v>317</v>
      </c>
    </row>
    <row r="15" customFormat="false" ht="61.5" hidden="false" customHeight="true" outlineLevel="0" collapsed="false">
      <c r="A15" s="30" t="n">
        <v>11</v>
      </c>
      <c r="B15" s="14" t="s">
        <v>414</v>
      </c>
      <c r="C15" s="7" t="s">
        <v>415</v>
      </c>
      <c r="D15" s="7" t="s">
        <v>416</v>
      </c>
      <c r="E15" s="7" t="s">
        <v>417</v>
      </c>
      <c r="F15" s="30" t="s">
        <v>317</v>
      </c>
    </row>
  </sheetData>
  <dataValidations count="1">
    <dataValidation allowBlank="true" errorStyle="stop" operator="between" showDropDown="false" showErrorMessage="false" showInputMessage="false" sqref="F5:G15 U5:U20 G16:G19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4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418</v>
      </c>
    </row>
    <row r="2" customFormat="false" ht="15" hidden="false" customHeight="false" outlineLevel="0" collapsed="false">
      <c r="A2" s="2" t="s">
        <v>419</v>
      </c>
    </row>
    <row r="4" customFormat="false" ht="15" hidden="false" customHeight="false" outlineLevel="0" collapsed="false">
      <c r="A4" s="4" t="s">
        <v>104</v>
      </c>
      <c r="B4" s="4" t="s">
        <v>420</v>
      </c>
      <c r="C4" s="4" t="s">
        <v>421</v>
      </c>
      <c r="D4" s="4" t="s">
        <v>422</v>
      </c>
      <c r="E4" s="4" t="s">
        <v>295</v>
      </c>
      <c r="F4" s="4" t="s">
        <v>423</v>
      </c>
      <c r="G4" s="4" t="s">
        <v>311</v>
      </c>
    </row>
    <row r="5" customFormat="false" ht="66" hidden="false" customHeight="true" outlineLevel="0" collapsed="false">
      <c r="A5" s="30" t="n">
        <v>1</v>
      </c>
      <c r="B5" s="14" t="s">
        <v>424</v>
      </c>
      <c r="C5" s="7" t="s">
        <v>425</v>
      </c>
      <c r="D5" s="16" t="s">
        <v>426</v>
      </c>
      <c r="E5" s="7" t="s">
        <v>427</v>
      </c>
      <c r="F5" s="7" t="s">
        <v>428</v>
      </c>
      <c r="G5" s="30" t="s">
        <v>317</v>
      </c>
    </row>
    <row r="6" customFormat="false" ht="66" hidden="false" customHeight="true" outlineLevel="0" collapsed="false">
      <c r="A6" s="30" t="n">
        <v>2</v>
      </c>
      <c r="B6" s="14" t="s">
        <v>429</v>
      </c>
      <c r="C6" s="7" t="s">
        <v>430</v>
      </c>
      <c r="D6" s="16" t="s">
        <v>431</v>
      </c>
      <c r="E6" s="7" t="s">
        <v>432</v>
      </c>
      <c r="F6" s="7" t="s">
        <v>433</v>
      </c>
      <c r="G6" s="30" t="s">
        <v>317</v>
      </c>
    </row>
    <row r="7" customFormat="false" ht="66" hidden="false" customHeight="true" outlineLevel="0" collapsed="false">
      <c r="A7" s="30" t="n">
        <v>3</v>
      </c>
      <c r="B7" s="14" t="s">
        <v>434</v>
      </c>
      <c r="C7" s="7" t="s">
        <v>435</v>
      </c>
      <c r="D7" s="16" t="s">
        <v>436</v>
      </c>
      <c r="E7" s="7" t="s">
        <v>437</v>
      </c>
      <c r="F7" s="7" t="s">
        <v>438</v>
      </c>
      <c r="G7" s="30" t="s">
        <v>317</v>
      </c>
    </row>
    <row r="8" customFormat="false" ht="66" hidden="false" customHeight="true" outlineLevel="0" collapsed="false">
      <c r="A8" s="30" t="n">
        <v>4</v>
      </c>
      <c r="B8" s="14" t="s">
        <v>439</v>
      </c>
      <c r="C8" s="7" t="s">
        <v>440</v>
      </c>
      <c r="D8" s="16" t="s">
        <v>441</v>
      </c>
      <c r="E8" s="7" t="s">
        <v>442</v>
      </c>
      <c r="F8" s="7" t="s">
        <v>443</v>
      </c>
      <c r="G8" s="30" t="s">
        <v>317</v>
      </c>
    </row>
    <row r="9" customFormat="false" ht="66" hidden="false" customHeight="true" outlineLevel="0" collapsed="false">
      <c r="A9" s="30" t="n">
        <v>5</v>
      </c>
      <c r="B9" s="14" t="s">
        <v>444</v>
      </c>
      <c r="C9" s="7" t="s">
        <v>445</v>
      </c>
      <c r="D9" s="16" t="s">
        <v>446</v>
      </c>
      <c r="E9" s="7" t="s">
        <v>447</v>
      </c>
      <c r="F9" s="7" t="s">
        <v>448</v>
      </c>
      <c r="G9" s="30" t="s">
        <v>317</v>
      </c>
    </row>
    <row r="10" customFormat="false" ht="66" hidden="false" customHeight="true" outlineLevel="0" collapsed="false">
      <c r="A10" s="30" t="n">
        <v>6</v>
      </c>
      <c r="B10" s="14" t="s">
        <v>449</v>
      </c>
      <c r="C10" s="7" t="s">
        <v>450</v>
      </c>
      <c r="D10" s="16" t="s">
        <v>451</v>
      </c>
      <c r="E10" s="7" t="s">
        <v>432</v>
      </c>
      <c r="F10" s="7" t="s">
        <v>452</v>
      </c>
      <c r="G10" s="30" t="s">
        <v>317</v>
      </c>
    </row>
    <row r="11" customFormat="false" ht="66" hidden="false" customHeight="true" outlineLevel="0" collapsed="false">
      <c r="A11" s="30" t="n">
        <v>7</v>
      </c>
      <c r="B11" s="14" t="s">
        <v>453</v>
      </c>
      <c r="C11" s="7" t="s">
        <v>454</v>
      </c>
      <c r="D11" s="16" t="s">
        <v>455</v>
      </c>
      <c r="E11" s="7" t="s">
        <v>447</v>
      </c>
      <c r="F11" s="7" t="s">
        <v>456</v>
      </c>
      <c r="G11" s="30" t="s">
        <v>317</v>
      </c>
    </row>
    <row r="12" customFormat="false" ht="66" hidden="false" customHeight="true" outlineLevel="0" collapsed="false">
      <c r="A12" s="30" t="n">
        <v>8</v>
      </c>
      <c r="B12" s="14" t="s">
        <v>457</v>
      </c>
      <c r="C12" s="7" t="s">
        <v>458</v>
      </c>
      <c r="D12" s="16" t="s">
        <v>459</v>
      </c>
      <c r="E12" s="7" t="s">
        <v>460</v>
      </c>
      <c r="F12" s="7" t="s">
        <v>461</v>
      </c>
      <c r="G12" s="30" t="s">
        <v>317</v>
      </c>
    </row>
    <row r="13" customFormat="false" ht="66" hidden="false" customHeight="true" outlineLevel="0" collapsed="false">
      <c r="A13" s="30" t="n">
        <v>9</v>
      </c>
      <c r="B13" s="14" t="s">
        <v>462</v>
      </c>
      <c r="C13" s="7" t="s">
        <v>463</v>
      </c>
      <c r="D13" s="16" t="s">
        <v>196</v>
      </c>
      <c r="E13" s="7" t="s">
        <v>427</v>
      </c>
      <c r="F13" s="7" t="s">
        <v>464</v>
      </c>
      <c r="G13" s="30" t="s">
        <v>317</v>
      </c>
    </row>
    <row r="14" customFormat="false" ht="66" hidden="false" customHeight="true" outlineLevel="0" collapsed="false">
      <c r="A14" s="30" t="n">
        <v>10</v>
      </c>
      <c r="B14" s="14" t="s">
        <v>465</v>
      </c>
      <c r="C14" s="7" t="s">
        <v>466</v>
      </c>
      <c r="D14" s="16" t="s">
        <v>467</v>
      </c>
      <c r="E14" s="7" t="s">
        <v>447</v>
      </c>
      <c r="F14" s="7" t="s">
        <v>468</v>
      </c>
      <c r="G14" s="30" t="s">
        <v>317</v>
      </c>
    </row>
    <row r="15" customFormat="false" ht="66" hidden="false" customHeight="true" outlineLevel="0" collapsed="false">
      <c r="A15" s="30" t="n">
        <v>11</v>
      </c>
      <c r="B15" s="14" t="s">
        <v>469</v>
      </c>
      <c r="C15" s="7" t="s">
        <v>470</v>
      </c>
      <c r="D15" s="16" t="s">
        <v>471</v>
      </c>
      <c r="E15" s="7" t="s">
        <v>447</v>
      </c>
      <c r="F15" s="7" t="s">
        <v>472</v>
      </c>
      <c r="G15" s="30" t="s">
        <v>317</v>
      </c>
    </row>
    <row r="16" customFormat="false" ht="66" hidden="false" customHeight="true" outlineLevel="0" collapsed="false">
      <c r="A16" s="30" t="n">
        <v>12</v>
      </c>
      <c r="B16" s="14" t="s">
        <v>473</v>
      </c>
      <c r="C16" s="7" t="s">
        <v>474</v>
      </c>
      <c r="D16" s="16" t="s">
        <v>196</v>
      </c>
      <c r="E16" s="7" t="s">
        <v>447</v>
      </c>
      <c r="F16" s="7" t="s">
        <v>475</v>
      </c>
      <c r="G16" s="30" t="s">
        <v>317</v>
      </c>
    </row>
    <row r="17" customFormat="false" ht="66" hidden="false" customHeight="true" outlineLevel="0" collapsed="false">
      <c r="A17" s="30" t="n">
        <v>13</v>
      </c>
      <c r="B17" s="14" t="s">
        <v>410</v>
      </c>
      <c r="C17" s="7" t="s">
        <v>476</v>
      </c>
      <c r="D17" s="16" t="s">
        <v>477</v>
      </c>
      <c r="E17" s="7" t="s">
        <v>447</v>
      </c>
      <c r="F17" s="7" t="s">
        <v>413</v>
      </c>
      <c r="G17" s="30" t="s">
        <v>317</v>
      </c>
    </row>
    <row r="18" customFormat="false" ht="66" hidden="false" customHeight="true" outlineLevel="0" collapsed="false">
      <c r="A18" s="30" t="n">
        <v>14</v>
      </c>
      <c r="B18" s="14" t="s">
        <v>478</v>
      </c>
      <c r="C18" s="7" t="s">
        <v>479</v>
      </c>
      <c r="D18" s="16" t="s">
        <v>480</v>
      </c>
      <c r="E18" s="7" t="s">
        <v>447</v>
      </c>
      <c r="F18" s="7" t="s">
        <v>481</v>
      </c>
      <c r="G18" s="30" t="s">
        <v>317</v>
      </c>
    </row>
    <row r="19" customFormat="false" ht="66" hidden="false" customHeight="true" outlineLevel="0" collapsed="false">
      <c r="A19" s="30" t="n">
        <v>15</v>
      </c>
      <c r="B19" s="14" t="s">
        <v>482</v>
      </c>
      <c r="C19" s="7" t="s">
        <v>483</v>
      </c>
      <c r="D19" s="16" t="s">
        <v>484</v>
      </c>
      <c r="E19" s="7" t="s">
        <v>485</v>
      </c>
      <c r="F19" s="7" t="s">
        <v>323</v>
      </c>
      <c r="G19" s="30" t="s">
        <v>317</v>
      </c>
    </row>
  </sheetData>
  <dataValidations count="1">
    <dataValidation allowBlank="true" errorStyle="stop" operator="between" showDropDown="false" showErrorMessage="false" showInputMessage="false" sqref="F5:G15 U5:U20 G16:G19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5" min="4" style="0" width="24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486</v>
      </c>
    </row>
    <row r="2" customFormat="false" ht="15" hidden="false" customHeight="false" outlineLevel="0" collapsed="false">
      <c r="A2" s="2" t="s">
        <v>487</v>
      </c>
    </row>
    <row r="4" customFormat="false" ht="15" hidden="false" customHeight="false" outlineLevel="0" collapsed="false">
      <c r="A4" s="4" t="s">
        <v>104</v>
      </c>
      <c r="B4" s="4" t="s">
        <v>420</v>
      </c>
      <c r="C4" s="4" t="s">
        <v>488</v>
      </c>
      <c r="D4" s="4" t="s">
        <v>489</v>
      </c>
      <c r="E4" s="4" t="s">
        <v>490</v>
      </c>
      <c r="F4" s="4" t="s">
        <v>374</v>
      </c>
    </row>
    <row r="5" customFormat="false" ht="31.5" hidden="false" customHeight="true" outlineLevel="0" collapsed="false">
      <c r="A5" s="30" t="n">
        <v>1</v>
      </c>
      <c r="B5" s="14" t="s">
        <v>491</v>
      </c>
      <c r="C5" s="7" t="s">
        <v>492</v>
      </c>
      <c r="D5" s="15" t="s">
        <v>48</v>
      </c>
      <c r="E5" s="16" t="s">
        <v>48</v>
      </c>
      <c r="F5" s="7" t="s">
        <v>493</v>
      </c>
    </row>
    <row r="6" customFormat="false" ht="31.5" hidden="false" customHeight="true" outlineLevel="0" collapsed="false">
      <c r="A6" s="30" t="n">
        <v>2</v>
      </c>
      <c r="B6" s="14" t="s">
        <v>494</v>
      </c>
      <c r="C6" s="7" t="s">
        <v>495</v>
      </c>
      <c r="D6" s="15" t="s">
        <v>48</v>
      </c>
      <c r="E6" s="16" t="s">
        <v>48</v>
      </c>
      <c r="F6" s="7" t="s">
        <v>496</v>
      </c>
    </row>
    <row r="7" customFormat="false" ht="31.5" hidden="false" customHeight="true" outlineLevel="0" collapsed="false">
      <c r="A7" s="30" t="n">
        <v>3</v>
      </c>
      <c r="B7" s="14" t="s">
        <v>497</v>
      </c>
      <c r="C7" s="7" t="s">
        <v>498</v>
      </c>
      <c r="D7" s="15" t="s">
        <v>48</v>
      </c>
      <c r="E7" s="16" t="s">
        <v>48</v>
      </c>
      <c r="F7" s="7" t="s">
        <v>333</v>
      </c>
    </row>
    <row r="8" customFormat="false" ht="31.5" hidden="false" customHeight="true" outlineLevel="0" collapsed="false">
      <c r="A8" s="30" t="n">
        <v>4</v>
      </c>
      <c r="B8" s="14" t="s">
        <v>499</v>
      </c>
      <c r="C8" s="7" t="s">
        <v>500</v>
      </c>
      <c r="D8" s="15" t="s">
        <v>48</v>
      </c>
      <c r="E8" s="16" t="s">
        <v>48</v>
      </c>
      <c r="F8" s="7" t="s">
        <v>501</v>
      </c>
    </row>
    <row r="9" customFormat="false" ht="31.5" hidden="false" customHeight="true" outlineLevel="0" collapsed="false">
      <c r="A9" s="30" t="n">
        <v>5</v>
      </c>
      <c r="B9" s="14" t="s">
        <v>502</v>
      </c>
      <c r="C9" s="7" t="s">
        <v>503</v>
      </c>
      <c r="D9" s="15" t="s">
        <v>504</v>
      </c>
      <c r="E9" s="16" t="s">
        <v>505</v>
      </c>
      <c r="F9" s="7" t="s">
        <v>506</v>
      </c>
    </row>
    <row r="10" customFormat="false" ht="31.5" hidden="false" customHeight="true" outlineLevel="0" collapsed="false">
      <c r="A10" s="30" t="n">
        <v>6</v>
      </c>
      <c r="B10" s="14" t="s">
        <v>507</v>
      </c>
      <c r="C10" s="7" t="s">
        <v>508</v>
      </c>
      <c r="D10" s="15" t="s">
        <v>509</v>
      </c>
      <c r="E10" s="16" t="s">
        <v>510</v>
      </c>
      <c r="F10" s="7" t="s">
        <v>511</v>
      </c>
    </row>
    <row r="11" customFormat="false" ht="31.5" hidden="false" customHeight="true" outlineLevel="0" collapsed="false">
      <c r="A11" s="30" t="n">
        <v>7</v>
      </c>
      <c r="B11" s="14" t="s">
        <v>512</v>
      </c>
      <c r="C11" s="7" t="s">
        <v>513</v>
      </c>
      <c r="D11" s="15" t="s">
        <v>514</v>
      </c>
      <c r="E11" s="16" t="s">
        <v>515</v>
      </c>
      <c r="F11" s="7" t="s">
        <v>516</v>
      </c>
    </row>
    <row r="12" customFormat="false" ht="31.5" hidden="false" customHeight="true" outlineLevel="0" collapsed="false">
      <c r="A12" s="30" t="n">
        <v>8</v>
      </c>
      <c r="B12" s="14" t="s">
        <v>517</v>
      </c>
      <c r="C12" s="7" t="s">
        <v>518</v>
      </c>
      <c r="D12" s="15" t="s">
        <v>48</v>
      </c>
      <c r="E12" s="16" t="s">
        <v>48</v>
      </c>
      <c r="F12" s="7" t="s">
        <v>519</v>
      </c>
    </row>
    <row r="13" customFormat="false" ht="31.5" hidden="false" customHeight="true" outlineLevel="0" collapsed="false">
      <c r="A13" s="30" t="n">
        <v>9</v>
      </c>
      <c r="B13" s="14" t="s">
        <v>520</v>
      </c>
      <c r="C13" s="7" t="s">
        <v>521</v>
      </c>
      <c r="D13" s="15" t="s">
        <v>48</v>
      </c>
      <c r="E13" s="16" t="s">
        <v>48</v>
      </c>
      <c r="F13" s="7" t="s">
        <v>522</v>
      </c>
    </row>
    <row r="14" customFormat="false" ht="31.5" hidden="false" customHeight="true" outlineLevel="0" collapsed="false">
      <c r="A14" s="30" t="n">
        <v>10</v>
      </c>
      <c r="B14" s="14" t="s">
        <v>523</v>
      </c>
      <c r="C14" s="7" t="s">
        <v>524</v>
      </c>
      <c r="D14" s="15" t="s">
        <v>525</v>
      </c>
      <c r="E14" s="16" t="s">
        <v>526</v>
      </c>
      <c r="F14" s="7" t="s">
        <v>246</v>
      </c>
    </row>
    <row r="15" customFormat="false" ht="31.5" hidden="false" customHeight="true" outlineLevel="0" collapsed="false">
      <c r="A15" s="30" t="n">
        <v>11</v>
      </c>
      <c r="B15" s="14" t="s">
        <v>527</v>
      </c>
      <c r="C15" s="7" t="s">
        <v>528</v>
      </c>
      <c r="D15" s="15" t="s">
        <v>48</v>
      </c>
      <c r="E15" s="16" t="s">
        <v>48</v>
      </c>
      <c r="F15" s="7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530</v>
      </c>
    </row>
    <row r="2" customFormat="false" ht="15" hidden="false" customHeight="false" outlineLevel="0" collapsed="false">
      <c r="A2" s="2" t="s">
        <v>531</v>
      </c>
    </row>
    <row r="4" customFormat="false" ht="15" hidden="false" customHeight="false" outlineLevel="0" collapsed="false">
      <c r="A4" s="4" t="s">
        <v>104</v>
      </c>
      <c r="B4" s="4" t="s">
        <v>532</v>
      </c>
      <c r="C4" s="4" t="s">
        <v>66</v>
      </c>
      <c r="D4" s="4" t="s">
        <v>533</v>
      </c>
      <c r="E4" s="4" t="s">
        <v>534</v>
      </c>
    </row>
    <row r="5" customFormat="false" ht="39.75" hidden="false" customHeight="true" outlineLevel="0" collapsed="false">
      <c r="A5" s="30" t="n">
        <v>1</v>
      </c>
      <c r="B5" s="7" t="s">
        <v>535</v>
      </c>
      <c r="C5" s="7" t="s">
        <v>536</v>
      </c>
      <c r="D5" s="7" t="s">
        <v>537</v>
      </c>
      <c r="E5" s="48"/>
    </row>
    <row r="6" customFormat="false" ht="39.75" hidden="false" customHeight="true" outlineLevel="0" collapsed="false">
      <c r="A6" s="30" t="n">
        <v>2</v>
      </c>
      <c r="B6" s="7" t="s">
        <v>538</v>
      </c>
      <c r="C6" s="7" t="s">
        <v>539</v>
      </c>
      <c r="D6" s="7" t="s">
        <v>540</v>
      </c>
      <c r="E6" s="48"/>
    </row>
    <row r="7" customFormat="false" ht="39.75" hidden="false" customHeight="true" outlineLevel="0" collapsed="false">
      <c r="A7" s="30" t="n">
        <v>3</v>
      </c>
      <c r="B7" s="7" t="s">
        <v>541</v>
      </c>
      <c r="C7" s="7" t="s">
        <v>542</v>
      </c>
      <c r="D7" s="7" t="s">
        <v>543</v>
      </c>
      <c r="E7" s="48"/>
    </row>
    <row r="8" customFormat="false" ht="39.75" hidden="false" customHeight="true" outlineLevel="0" collapsed="false">
      <c r="A8" s="30" t="n">
        <v>4</v>
      </c>
      <c r="B8" s="7" t="s">
        <v>544</v>
      </c>
      <c r="C8" s="7" t="s">
        <v>545</v>
      </c>
      <c r="D8" s="7" t="s">
        <v>546</v>
      </c>
      <c r="E8" s="48"/>
    </row>
    <row r="9" customFormat="false" ht="39.75" hidden="false" customHeight="true" outlineLevel="0" collapsed="false">
      <c r="A9" s="30" t="n">
        <v>5</v>
      </c>
      <c r="B9" s="7" t="s">
        <v>547</v>
      </c>
      <c r="C9" s="7" t="s">
        <v>548</v>
      </c>
      <c r="D9" s="7" t="s">
        <v>549</v>
      </c>
      <c r="E9" s="48"/>
    </row>
    <row r="10" customFormat="false" ht="39.75" hidden="false" customHeight="true" outlineLevel="0" collapsed="false">
      <c r="A10" s="30" t="n">
        <v>6</v>
      </c>
      <c r="B10" s="7" t="s">
        <v>550</v>
      </c>
      <c r="C10" s="7" t="s">
        <v>548</v>
      </c>
      <c r="D10" s="7" t="s">
        <v>551</v>
      </c>
      <c r="E10" s="48"/>
    </row>
    <row r="11" customFormat="false" ht="39.75" hidden="false" customHeight="true" outlineLevel="0" collapsed="false">
      <c r="A11" s="30" t="n">
        <v>7</v>
      </c>
      <c r="B11" s="7" t="s">
        <v>552</v>
      </c>
      <c r="C11" s="7" t="s">
        <v>553</v>
      </c>
      <c r="D11" s="7" t="s">
        <v>554</v>
      </c>
      <c r="E11" s="48"/>
    </row>
    <row r="12" customFormat="false" ht="39.75" hidden="false" customHeight="true" outlineLevel="0" collapsed="false">
      <c r="A12" s="30" t="n">
        <v>8</v>
      </c>
      <c r="B12" s="7" t="s">
        <v>555</v>
      </c>
      <c r="C12" s="7" t="s">
        <v>556</v>
      </c>
      <c r="D12" s="7" t="s">
        <v>557</v>
      </c>
      <c r="E12" s="48"/>
    </row>
    <row r="13" customFormat="false" ht="39.75" hidden="false" customHeight="true" outlineLevel="0" collapsed="false">
      <c r="A13" s="30" t="n">
        <v>9</v>
      </c>
      <c r="B13" s="7" t="s">
        <v>558</v>
      </c>
      <c r="C13" s="7" t="s">
        <v>410</v>
      </c>
      <c r="D13" s="7" t="s">
        <v>559</v>
      </c>
      <c r="E13" s="48"/>
    </row>
    <row r="14" customFormat="false" ht="39.75" hidden="false" customHeight="true" outlineLevel="0" collapsed="false">
      <c r="A14" s="30" t="n">
        <v>10</v>
      </c>
      <c r="B14" s="7" t="s">
        <v>560</v>
      </c>
      <c r="C14" s="7" t="s">
        <v>561</v>
      </c>
      <c r="D14" s="7" t="s">
        <v>559</v>
      </c>
      <c r="E14" s="48"/>
    </row>
    <row r="15" customFormat="false" ht="39.75" hidden="false" customHeight="true" outlineLevel="0" collapsed="false">
      <c r="A15" s="30" t="n">
        <v>11</v>
      </c>
      <c r="B15" s="7" t="s">
        <v>562</v>
      </c>
      <c r="C15" s="7" t="s">
        <v>563</v>
      </c>
      <c r="D15" s="7" t="s">
        <v>564</v>
      </c>
      <c r="E15" s="48"/>
    </row>
    <row r="16" customFormat="false" ht="39.75" hidden="false" customHeight="true" outlineLevel="0" collapsed="false">
      <c r="A16" s="30" t="n">
        <v>12</v>
      </c>
      <c r="B16" s="7" t="s">
        <v>565</v>
      </c>
      <c r="C16" s="7" t="s">
        <v>566</v>
      </c>
      <c r="D16" s="7" t="s">
        <v>557</v>
      </c>
      <c r="E16" s="4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2026-10-12T16:25:33Z</dcterms:created>
  <dc:creator>openpyxl</dc:creator>
  <dc:description/>
  <dc:language>en-US</dc:language>
  <cp:lastModifiedBy/>
  <dcterms:modified xsi:type="dcterms:W3CDTF">2026-10-12T16:25:34Z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