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s &amp; Pricing" sheetId="1" state="visible" r:id="rId3"/>
    <sheet name="Step-by-Ste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<sst xmlns="http://schemas.openxmlformats.org/spreadsheetml/2006/main" count="439" uniqueCount="342">
  <si>
    <t xml:space="preserve">Employee Dashboard on Azure – Resources &amp; Pricing (2 scenarios × 3 sizes)</t>
  </si>
  <si>
    <t xml:space="preserve">Central India · Linux · pay-as-you-go list prices from Microsoft's Azure Retail Prices API (checked 5-Oct-2026) unless marked. Blue = input you can change; yellow = for IT to fill. All totals are formulas.</t>
  </si>
  <si>
    <t xml:space="preserve">Inputs</t>
  </si>
  <si>
    <t xml:space="preserve">INR per USD</t>
  </si>
  <si>
    <t xml:space="preserve">Stated; update to PwC billing rate</t>
  </si>
  <si>
    <t xml:space="preserve">PwC enterprise discount</t>
  </si>
  <si>
    <t xml:space="preserve">IT to fill in (0% = list price)</t>
  </si>
  <si>
    <t xml:space="preserve">Hours per month</t>
  </si>
  <si>
    <t xml:space="preserve">Azure standard</t>
  </si>
  <si>
    <t xml:space="preserve">Usage assumptions</t>
  </si>
  <si>
    <t xml:space="preserve">Up to 50</t>
  </si>
  <si>
    <t xml:space="preserve">Up to 200</t>
  </si>
  <si>
    <t xml:space="preserve">Up to 1,000</t>
  </si>
  <si>
    <t xml:space="preserve">Users</t>
  </si>
  <si>
    <t xml:space="preserve">Visits per user per month</t>
  </si>
  <si>
    <t xml:space="preserve">MB downloaded per visit</t>
  </si>
  <si>
    <t xml:space="preserve">Storage reads per visit (photos + data)</t>
  </si>
  <si>
    <t xml:space="preserve">Log MB per user per month</t>
  </si>
  <si>
    <t xml:space="preserve">→ Data sent / processed (GB/month)</t>
  </si>
  <si>
    <t xml:space="preserve">→ Storage reads (10K ops/month)</t>
  </si>
  <si>
    <t xml:space="preserve">→ Log GB/month</t>
  </si>
  <si>
    <t xml:space="preserve">Free allowances: 100 GB/month bandwidth (per subscription), 5 GB/month logs, 10 metric alert rules, 31-day log retention.</t>
  </si>
  <si>
    <t xml:space="preserve">Monthly cost summary (₹, after discount)</t>
  </si>
  <si>
    <t xml:space="preserve">Scenario</t>
  </si>
  <si>
    <t xml:space="preserve">What it means</t>
  </si>
  <si>
    <t xml:space="preserve">Lean (recommended) – per month</t>
  </si>
  <si>
    <t xml:space="preserve">Works fine for this app if the assumptions below hold; the risks are known and each has a quick fix</t>
  </si>
  <si>
    <t xml:space="preserve">Lean (recommended) – per year</t>
  </si>
  <si>
    <t xml:space="preserve">Lean (recommended) – per person per month</t>
  </si>
  <si>
    <t xml:space="preserve">No-risk – per month</t>
  </si>
  <si>
    <t xml:space="preserve">Covers every hosting risk below up front: stricter security, more capacity, safe zero-downtime updates</t>
  </si>
  <si>
    <t xml:space="preserve">No-risk – per year</t>
  </si>
  <si>
    <t xml:space="preserve">No-risk – per person per month</t>
  </si>
  <si>
    <t xml:space="preserve">Difference: No-risk minus Lean, per month</t>
  </si>
  <si>
    <t xml:space="preserve">Optional saving on No-risk: a 1-year P0v3 reservation ($469/yr per instance vs $0.082/hr) cuts the server line by ~35%.</t>
  </si>
  <si>
    <t xml:space="preserve">Difference: No-risk minus Lean, per year</t>
  </si>
  <si>
    <t xml:space="preserve">Resource-by-resource pricing</t>
  </si>
  <si>
    <t xml:space="preserve">#</t>
  </si>
  <si>
    <t xml:space="preserve">Resource</t>
  </si>
  <si>
    <t xml:space="preserve">What it does</t>
  </si>
  <si>
    <t xml:space="preserve">Unit price (USD)</t>
  </si>
  <si>
    <t xml:space="preserve">Unit</t>
  </si>
  <si>
    <t xml:space="preserve">Lean qty ≤50</t>
  </si>
  <si>
    <t xml:space="preserve">Lean qty ≤200</t>
  </si>
  <si>
    <t xml:space="preserve">Lean qty ≤1000</t>
  </si>
  <si>
    <t xml:space="preserve">No-risk qty ≤50</t>
  </si>
  <si>
    <t xml:space="preserve">No-risk qty ≤200</t>
  </si>
  <si>
    <t xml:space="preserve">No-risk qty ≤1000</t>
  </si>
  <si>
    <t xml:space="preserve">Lean ₹ ≤50</t>
  </si>
  <si>
    <t xml:space="preserve">Lean ₹ ≤200</t>
  </si>
  <si>
    <t xml:space="preserve">Lean ₹ ≤1000</t>
  </si>
  <si>
    <t xml:space="preserve">No-risk ₹ ≤50</t>
  </si>
  <si>
    <t xml:space="preserve">No-risk ₹ ≤200</t>
  </si>
  <si>
    <t xml:space="preserve">No-risk ₹ ≤1000</t>
  </si>
  <si>
    <t xml:space="preserve">Price source / notes</t>
  </si>
  <si>
    <t xml:space="preserve">IT discounted ₹/mo (No-risk ≤1000)</t>
  </si>
  <si>
    <t xml:space="preserve">App Service Plan – Basic B1 (Linux)</t>
  </si>
  <si>
    <t xml:space="preserve">Server: 1 vCPU, 1.75 GB RAM</t>
  </si>
  <si>
    <t xml:space="preserve">hour</t>
  </si>
  <si>
    <t xml:space="preserve">Azure Retail Prices API, Central India ($0.018/hr)</t>
  </si>
  <si>
    <t xml:space="preserve">App Service Plan – Premium P0v3 (Linux)</t>
  </si>
  <si>
    <t xml:space="preserve">Server: 1 vCPU, 4 GB RAM, faster CPU; staging slot + autoscale included</t>
  </si>
  <si>
    <t xml:space="preserve">hour × instances</t>
  </si>
  <si>
    <t xml:space="preserve">Azure Retail Prices API, Central India ($0.082/hr). ≤1000: 2 instances always on (no single point of failure, room for peaks)</t>
  </si>
  <si>
    <t xml:space="preserve">Staging slot</t>
  </si>
  <si>
    <t xml:space="preserve">Test each monthly update on a copy, then swap live with zero downtime</t>
  </si>
  <si>
    <t xml:space="preserve">included</t>
  </si>
  <si>
    <t xml:space="preserve">Included in Premium; not available on B1</t>
  </si>
  <si>
    <t xml:space="preserve">Autoscale rules</t>
  </si>
  <si>
    <t xml:space="preserve">Adds an instance automatically when busy</t>
  </si>
  <si>
    <t xml:space="preserve">Included in Premium; extra instance-hours beyond the qty above would be extra</t>
  </si>
  <si>
    <t xml:space="preserve">Microsoft Defender for App Service</t>
  </si>
  <si>
    <t xml:space="preserve">Threat detection on the web app</t>
  </si>
  <si>
    <t xml:space="preserve">hour × instance</t>
  </si>
  <si>
    <t xml:space="preserve">Azure Retail Prices API, Central India ($0.02/hr per instance)</t>
  </si>
  <si>
    <t xml:space="preserve">Private endpoint – Web App</t>
  </si>
  <si>
    <t xml:space="preserve">App reachable only from PwC network/VPN</t>
  </si>
  <si>
    <t xml:space="preserve">Microsoft published Private Link rate ($0.01/hr) – not returned by the API; IT to confirm</t>
  </si>
  <si>
    <t xml:space="preserve">Private endpoint – Storage</t>
  </si>
  <si>
    <t xml:space="preserve">Storage has no public address at all</t>
  </si>
  <si>
    <t xml:space="preserve">As above. Lean uses free service endpoints instead</t>
  </si>
  <si>
    <t xml:space="preserve">Private endpoint – Key Vault</t>
  </si>
  <si>
    <t xml:space="preserve">Key Vault has no public address at all</t>
  </si>
  <si>
    <t xml:space="preserve">Private endpoint – data processed</t>
  </si>
  <si>
    <t xml:space="preserve">Traffic through private endpoints</t>
  </si>
  <si>
    <t xml:space="preserve">GB</t>
  </si>
  <si>
    <t xml:space="preserve">$0.01/GB published rate; No-risk adds storage traffic (+20%)</t>
  </si>
  <si>
    <t xml:space="preserve">Private DNS zones</t>
  </si>
  <si>
    <t xml:space="preserve">Resolve private addresses (one per private endpoint type)</t>
  </si>
  <si>
    <t xml:space="preserve">zone</t>
  </si>
  <si>
    <t xml:space="preserve">Azure Retail Prices API, Central India ($0.50/zone). ₹0 if PwC's central DNS is used</t>
  </si>
  <si>
    <t xml:space="preserve">Storage – data stored (Hot LRS)</t>
  </si>
  <si>
    <t xml:space="preserve">Data files (versioned), photos, access rules</t>
  </si>
  <si>
    <t xml:space="preserve">GB/month</t>
  </si>
  <si>
    <t xml:space="preserve">Azure Retail Prices API, Central India ($0.02/GB). No-risk keeps more versions</t>
  </si>
  <si>
    <t xml:space="preserve">Storage – read operations</t>
  </si>
  <si>
    <t xml:space="preserve">Photo and data reads</t>
  </si>
  <si>
    <t xml:space="preserve">10K ops</t>
  </si>
  <si>
    <t xml:space="preserve">Azure Retail Prices API, Central India ($0.0044 per 10K)</t>
  </si>
  <si>
    <t xml:space="preserve">Storage – write operations</t>
  </si>
  <si>
    <t xml:space="preserve">Monthly uploads</t>
  </si>
  <si>
    <t xml:space="preserve">Azure Retail Prices API, Central India ($0.055 per 10K)</t>
  </si>
  <si>
    <t xml:space="preserve">Key Vault (Standard) – operations</t>
  </si>
  <si>
    <t xml:space="preserve">Secrets kept out of code</t>
  </si>
  <si>
    <t xml:space="preserve">Azure Retail Prices API, Central India ($0.03 per 10K)</t>
  </si>
  <si>
    <t xml:space="preserve">Azure Monitor – metric alert rules</t>
  </si>
  <si>
    <t xml:space="preserve">App down, errors, slow responses, CPU, memory</t>
  </si>
  <si>
    <t xml:space="preserve">rule</t>
  </si>
  <si>
    <t xml:space="preserve">Azure Retail Prices API, Central India (first 10 rules free)</t>
  </si>
  <si>
    <t xml:space="preserve">Azure Monitor – log alert rules</t>
  </si>
  <si>
    <t xml:space="preserve">Upload failed; unusual access pattern (No-risk)</t>
  </si>
  <si>
    <t xml:space="preserve">Azure Retail Prices API, Central India ($0.50/rule, 15-min)</t>
  </si>
  <si>
    <t xml:space="preserve">Log Analytics – ingestion above free 5 GB</t>
  </si>
  <si>
    <t xml:space="preserve">App logs + access audit</t>
  </si>
  <si>
    <t xml:space="preserve">Azure Retail Prices API, Central India ($3.22/GB). No-risk logs more detail (+50%)</t>
  </si>
  <si>
    <t xml:space="preserve">Log Analytics – retention beyond 31 days</t>
  </si>
  <si>
    <t xml:space="preserve">Keep audit logs 90 days</t>
  </si>
  <si>
    <t xml:space="preserve">GB-month</t>
  </si>
  <si>
    <t xml:space="preserve">Azure Retail Prices API, Central India ($0.14/GB/month)</t>
  </si>
  <si>
    <t xml:space="preserve">Outbound bandwidth</t>
  </si>
  <si>
    <t xml:space="preserve">Pages/data/photos to users</t>
  </si>
  <si>
    <t xml:space="preserve">First 100 GB/month free per subscription</t>
  </si>
  <si>
    <t xml:space="preserve">Entra ID sign-in, app registration, 2 groups</t>
  </si>
  <si>
    <t xml:space="preserve">PwC single sign-on + MD/Director groups</t>
  </si>
  <si>
    <t xml:space="preserve">—</t>
  </si>
  <si>
    <t xml:space="preserve">Existing PwC tenant</t>
  </si>
  <si>
    <t xml:space="preserve">Web App, built-in auth, managed identity, TLS, backups</t>
  </si>
  <si>
    <t xml:space="preserve">The dashboard + its security basics</t>
  </si>
  <si>
    <t xml:space="preserve">Included in the App Service plan</t>
  </si>
  <si>
    <t xml:space="preserve">VNet, subnets, NSG, VNet integration, service endpoints</t>
  </si>
  <si>
    <t xml:space="preserve">Private network plumbing</t>
  </si>
  <si>
    <t xml:space="preserve">No charge</t>
  </si>
  <si>
    <t xml:space="preserve">CI/CD pipeline, cost budget alert, resource group</t>
  </si>
  <si>
    <t xml:space="preserve">Deployments; spend warning; container for all</t>
  </si>
  <si>
    <t xml:space="preserve">Free tier / no charge</t>
  </si>
  <si>
    <t xml:space="preserve">TOTAL per month (₹)</t>
  </si>
  <si>
    <t xml:space="preserve">Where Lean may go wrong – assumptions, warning signs, fix and extra cost</t>
  </si>
  <si>
    <t xml:space="preserve">Assumption in Lean</t>
  </si>
  <si>
    <t xml:space="preserve">What could break it</t>
  </si>
  <si>
    <t xml:space="preserve">How we'd notice</t>
  </si>
  <si>
    <t xml:space="preserve">Fix (no rebuild unless stated)</t>
  </si>
  <si>
    <t xml:space="preserve">Extra ₹/month (list)</t>
  </si>
  <si>
    <t xml:space="preserve">Covered by No-risk?</t>
  </si>
  <si>
    <t xml:space="preserve">InfoSec accepts free service endpoints for Storage and Key Vault</t>
  </si>
  <si>
    <t xml:space="preserve">Policy: every resource holding HR data must have no public address</t>
  </si>
  <si>
    <t xml:space="preserve">IT's answer to our request</t>
  </si>
  <si>
    <t xml:space="preserve">Add 2 private endpoints + 2 DNS zones (IT network change)</t>
  </si>
  <si>
    <t xml:space="preserve">~+1,500</t>
  </si>
  <si>
    <t xml:space="preserve">Yes</t>
  </si>
  <si>
    <t xml:space="preserve">No extra security tooling is mandated</t>
  </si>
  <si>
    <t xml:space="preserve">Policy requires Defender for App Service</t>
  </si>
  <si>
    <t xml:space="preserve">IT/InfoSec review</t>
  </si>
  <si>
    <t xml:space="preserve">Turn on Defender (setting)</t>
  </si>
  <si>
    <t xml:space="preserve">~+1,400 per instance</t>
  </si>
  <si>
    <t xml:space="preserve">Few people at the same moment (a few dozen)</t>
  </si>
  <si>
    <t xml:space="preserve">Town hall / appraisal week, everyone opens it together</t>
  </si>
  <si>
    <t xml:space="preserve">Slow-response alert; App Insights response times &gt; 3 s</t>
  </si>
  <si>
    <t xml:space="preserve">Move B1 → B2 (one click)</t>
  </si>
  <si>
    <t xml:space="preserve">+1,255</t>
  </si>
  <si>
    <t xml:space="preserve">Yes (P0v3, 2 instances at ≤1000)</t>
  </si>
  <si>
    <t xml:space="preserve">Data stays ~800–1,000 people, ~13 MB, monthly</t>
  </si>
  <si>
    <t xml:space="preserve">Other practices join, years of history, daily refresh</t>
  </si>
  <si>
    <t xml:space="preserve">Memory/CPU alerts; slower loads</t>
  </si>
  <si>
    <t xml:space="preserve">B2 or P0v3 (one click)</t>
  </si>
  <si>
    <t xml:space="preserve">+1,255 to +4,460</t>
  </si>
  <si>
    <t xml:space="preserve">Mostly</t>
  </si>
  <si>
    <t xml:space="preserve">Updates tested by a manual 'preview' step</t>
  </si>
  <si>
    <t xml:space="preserve">A bad file goes live before anyone notices</t>
  </si>
  <si>
    <t xml:space="preserve">Users report wrong data</t>
  </si>
  <si>
    <t xml:space="preserve">Roll back to last month's file (&lt;5 min); use staging slot on Premium</t>
  </si>
  <si>
    <t xml:space="preserve">+4,460 (to get slots)</t>
  </si>
  <si>
    <t xml:space="preserve">Yes (staging slot)</t>
  </si>
  <si>
    <t xml:space="preserve">One server instance is enough</t>
  </si>
  <si>
    <t xml:space="preserve">Azure restarts/patches the single B1 instance at a busy moment</t>
  </si>
  <si>
    <t xml:space="preserve">Short outage alert (a few minutes)</t>
  </si>
  <si>
    <t xml:space="preserve">Accept, or run 2 instances (needs Premium for best effect)</t>
  </si>
  <si>
    <t xml:space="preserve">+4,460 or more</t>
  </si>
  <si>
    <t xml:space="preserve">Yes at ≤1000 (2 instances)</t>
  </si>
  <si>
    <t xml:space="preserve">Logs &lt; 5 GB/month, 30-day retention is enough</t>
  </si>
  <si>
    <t xml:space="preserve">Audit asks for longer retention or detailed tracking</t>
  </si>
  <si>
    <t xml:space="preserve">Audit request</t>
  </si>
  <si>
    <t xml:space="preserve">Turn on longer retention (setting)</t>
  </si>
  <si>
    <t xml:space="preserve">+100 to +500</t>
  </si>
  <si>
    <t xml:space="preserve">Yes (90 days)</t>
  </si>
  <si>
    <t xml:space="preserve">Within the free 100 GB/month bandwidth</t>
  </si>
  <si>
    <t xml:space="preserve">Shared subscription already uses the free tier</t>
  </si>
  <si>
    <t xml:space="preserve">Monthly bill</t>
  </si>
  <si>
    <t xml:space="preserve">None needed – cost is small</t>
  </si>
  <si>
    <t xml:space="preserve">+100 to +300</t>
  </si>
  <si>
    <t xml:space="preserve">Same in both</t>
  </si>
  <si>
    <t xml:space="preserve">Private endpoint price = Microsoft's published $0.01/hr</t>
  </si>
  <si>
    <t xml:space="preserve">PwC rate differs</t>
  </si>
  <si>
    <t xml:space="preserve">IT quote</t>
  </si>
  <si>
    <t xml:space="preserve">None – price only</t>
  </si>
  <si>
    <t xml:space="preserve">± small</t>
  </si>
  <si>
    <t xml:space="preserve">PwC phones can reach private endpoints (mobile VPN)</t>
  </si>
  <si>
    <t xml:space="preserve">No mobile VPN on PwC phones</t>
  </si>
  <si>
    <t xml:space="preserve">Pilot users can't open it on phones outside office</t>
  </si>
  <si>
    <t xml:space="preserve">IT chooses Conditional Access or an app gateway instead of private endpoint (may SAVE ~₹750)</t>
  </si>
  <si>
    <t xml:space="preserve">0 or saving</t>
  </si>
  <si>
    <t xml:space="preserve">Same in both – IT decision</t>
  </si>
  <si>
    <t xml:space="preserve">Not covered by either scenario (new requirements – separate request and budget)</t>
  </si>
  <si>
    <t xml:space="preserve">• Users editing data in the app or a live HR feed → needs a database (Azure SQL ~₹470–1,430/month) and build effort.</t>
  </si>
  <si>
    <t xml:space="preserve">• AI chatbot inside the app → Azure OpenAI billed per question, plus a bigger server.</t>
  </si>
  <si>
    <t xml:space="preserve">• Disaster recovery / second region or zone-redundant setup → roughly +₹9,000–15,000/month or double.</t>
  </si>
  <si>
    <t xml:space="preserve">• Separate dev/test environment if IT mandates it → about +₹1,255–2,100/month.</t>
  </si>
  <si>
    <t xml:space="preserve">• PwC network costs (ExpressRoute/VPN, central DNS, firewall), internal IT chargeback, GST, developer time.</t>
  </si>
  <si>
    <t xml:space="preserve">Step-by-step: from today's HTML files to the hosted app</t>
  </si>
  <si>
    <t xml:space="preserve">Owner: 'Our team' = dashboard team. 'Differs' column shows where the No-risk scenario adds a step. Use Status to track.</t>
  </si>
  <si>
    <t xml:space="preserve">Step</t>
  </si>
  <si>
    <t xml:space="preserve">What to do</t>
  </si>
  <si>
    <t xml:space="preserve">Owner</t>
  </si>
  <si>
    <t xml:space="preserve">Lean vs No-risk</t>
  </si>
  <si>
    <t xml:space="preserve">Done when</t>
  </si>
  <si>
    <t xml:space="preserve">Status</t>
  </si>
  <si>
    <t xml:space="preserve">DECISIONS &amp; APPROVALS (before any build)</t>
  </si>
  <si>
    <t xml:space="preserve">Choose scenario</t>
  </si>
  <si>
    <t xml:space="preserve">Senior managers approve Lean or No-risk using the Resources &amp; Pricing tab.</t>
  </si>
  <si>
    <t xml:space="preserve">Charan → Senior managers</t>
  </si>
  <si>
    <t xml:space="preserve">Written approval</t>
  </si>
  <si>
    <t xml:space="preserve">Not started</t>
  </si>
  <si>
    <t xml:space="preserve">Raise IT request</t>
  </si>
  <si>
    <t xml:space="preserve">Send resource list + costing; ask the 5 policy questions (service vs private endpoints, central DNS, Defender, mobile access, discounted prices).</t>
  </si>
  <si>
    <t xml:space="preserve">Charan → IT</t>
  </si>
  <si>
    <t xml:space="preserve">IT replies with discounted quote and policy answers</t>
  </si>
  <si>
    <t xml:space="preserve">Start data-privacy sign-off</t>
  </si>
  <si>
    <t xml:space="preserve">Tell InfoSec what HR data is hosted (no home addresses), who sees what, where it lives.</t>
  </si>
  <si>
    <t xml:space="preserve">Charan → InfoSec</t>
  </si>
  <si>
    <t xml:space="preserve">Sign-off received</t>
  </si>
  <si>
    <t xml:space="preserve">Confirm access levels</t>
  </si>
  <si>
    <t xml:space="preserve">MDs confirm L1–L4 and the Extra Competencies list in Access_Rules.xlsx.</t>
  </si>
  <si>
    <t xml:space="preserve">Charan → MDs</t>
  </si>
  <si>
    <t xml:space="preserve">Access_Rules.xlsx approved</t>
  </si>
  <si>
    <t xml:space="preserve">PHASE 0 – Prepare the build (local, ~2 weeks)</t>
  </si>
  <si>
    <t xml:space="preserve">Check master Excel keys</t>
  </si>
  <si>
    <t xml:space="preserve">Every row has Employee ID, emailid (= sign-in email), Role, RL Manager Email; every manager email exists as someone's emailid (except MDs/Directors at the top).</t>
  </si>
  <si>
    <t xml:space="preserve">Our team</t>
  </si>
  <si>
    <t xml:space="preserve">Data quality report shows 0 broken links</t>
  </si>
  <si>
    <t xml:space="preserve">Prepare photos</t>
  </si>
  <si>
    <t xml:space="preserve">One file per person named &lt;Employee ID&gt; (~25 KB). Stop embedding photos inside the HTML.</t>
  </si>
  <si>
    <t xml:space="preserve">Photo count = headcount</t>
  </si>
  <si>
    <t xml:space="preserve">Split page and data</t>
  </si>
  <si>
    <t xml:space="preserve">Desktop and mobile pages without data (&lt;1 MB each); they load data from /api/data and photos from /photo/&lt;id&gt;.</t>
  </si>
  <si>
    <t xml:space="preserve">No employee data inside the page files</t>
  </si>
  <si>
    <t xml:space="preserve">Build the server filter</t>
  </si>
  <si>
    <t xml:space="preserve">Read sign-in email → find person → level from Access_Rules → send only allowed rows/columns. Every route (data, photos, exports) goes through it.</t>
  </si>
  <si>
    <t xml:space="preserve">Test user of each level (L1–L4) sees exactly the right data</t>
  </si>
  <si>
    <t xml:space="preserve">Build the monthly conversion script</t>
  </si>
  <si>
    <t xml:space="preserve">Master Excel → data file + error report (missing emails, broken manager links, row count vs last month).</t>
  </si>
  <si>
    <t xml:space="preserve">One-click run with clear error report</t>
  </si>
  <si>
    <t xml:space="preserve">PHASE 1 – Azure setup + pilot (~20 people, ~4 weeks)</t>
  </si>
  <si>
    <t xml:space="preserve">Create resource group + access</t>
  </si>
  <si>
    <t xml:space="preserve">rg-deals-dashboard in Central India; Contributor for our team.</t>
  </si>
  <si>
    <t xml:space="preserve">IT</t>
  </si>
  <si>
    <t xml:space="preserve">Team can see the resource group</t>
  </si>
  <si>
    <t xml:space="preserve">Create network</t>
  </si>
  <si>
    <t xml:space="preserve">VNet + 2 subnets + NSG; service endpoints for Storage and Key Vault.</t>
  </si>
  <si>
    <t xml:space="preserve">IT (Network)</t>
  </si>
  <si>
    <t xml:space="preserve">No-risk: 3rd subnet not needed; service endpoints replaced by private endpoints (next step)</t>
  </si>
  <si>
    <t xml:space="preserve">VNet ready</t>
  </si>
  <si>
    <t xml:space="preserve">Create storage + Key Vault</t>
  </si>
  <si>
    <t xml:space="preserve">Storage (Hot LRS, containers data/photos/config, public access off, versioning + soft delete); Key Vault (Standard, RBAC).</t>
  </si>
  <si>
    <t xml:space="preserve">No-risk: add private endpoints + DNS zones for Storage and Key Vault (IT Network)</t>
  </si>
  <si>
    <t xml:space="preserve">Anonymous access refused</t>
  </si>
  <si>
    <t xml:space="preserve">Create App Service</t>
  </si>
  <si>
    <t xml:space="preserve">Lean: plan B1 Linux. No-risk: plan P0v3 Linux (+ staging slot, autoscale min 1 / max 2; at ≤1000 run 2 instances). Web App: HTTPS only, compression on, managed identity, VNet integration.</t>
  </si>
  <si>
    <t xml:space="preserve">Different plan size; No-risk adds staging slot + autoscale</t>
  </si>
  <si>
    <t xml:space="preserve">Default page loads inside PwC network</t>
  </si>
  <si>
    <t xml:space="preserve">Make the app private</t>
  </si>
  <si>
    <t xml:space="preserve">Private endpoint on the Web App; public access off; private DNS (or PwC central DNS).</t>
  </si>
  <si>
    <t xml:space="preserve">Opens on PwC network/VPN; blocked outside</t>
  </si>
  <si>
    <t xml:space="preserve">Turn on PwC sign-in</t>
  </si>
  <si>
    <t xml:space="preserve">Entra app registration (single tenant) + App Service authentication 'require sign-in'; groups Dashboard.AllAccess and Dashboard.RateViewer.</t>
  </si>
  <si>
    <t xml:space="preserve">IT (Entra admin)</t>
  </si>
  <si>
    <t xml:space="preserve">Opening the link forces PwC login</t>
  </si>
  <si>
    <t xml:space="preserve">Grant app access to data</t>
  </si>
  <si>
    <t xml:space="preserve">Managed identity → 'Storage Blob Data Reader' and 'Key Vault Secrets User'.</t>
  </si>
  <si>
    <t xml:space="preserve">App reads data with no keys in code</t>
  </si>
  <si>
    <t xml:space="preserve">Monitoring &amp; alerts</t>
  </si>
  <si>
    <t xml:space="preserve">App Insights + Log Analytics; metric alerts (down, errors, slow) + log alert (upload failed); cost budget alert.</t>
  </si>
  <si>
    <t xml:space="preserve">No-risk: 90-day log retention, extra alerts, Defender for App Service ON</t>
  </si>
  <si>
    <t xml:space="preserve">Test alert email received</t>
  </si>
  <si>
    <t xml:space="preserve">Deploy + load first month</t>
  </si>
  <si>
    <t xml:space="preserve">Deployment pipeline; upload data, photos, Access_Rules.</t>
  </si>
  <si>
    <t xml:space="preserve">No-risk: deploy to staging slot first, then swap</t>
  </si>
  <si>
    <t xml:space="preserve">Dashboard shows current month</t>
  </si>
  <si>
    <t xml:space="preserve">Pilot</t>
  </si>
  <si>
    <t xml:space="preserve">~20 users across all levels use it through 2 monthly refreshes.</t>
  </si>
  <si>
    <t xml:space="preserve">Our team + pilot users</t>
  </si>
  <si>
    <t xml:space="preserve">MD sign-off on access; pages &lt; 3 s; no Sev-1 issues</t>
  </si>
  <si>
    <t xml:space="preserve">PHASE 2 – Up to 200 people (~4 weeks)</t>
  </si>
  <si>
    <t xml:space="preserve">Widen access</t>
  </si>
  <si>
    <t xml:space="preserve">Add users/groups; share the link; optional custom URL.</t>
  </si>
  <si>
    <t xml:space="preserve">Charan / IT (DNS)</t>
  </si>
  <si>
    <t xml:space="preserve">Usage visible in App Insights</t>
  </si>
  <si>
    <t xml:space="preserve">Hand over monthly runbook</t>
  </si>
  <si>
    <t xml:space="preserve">Monthly steps below run without developer help.</t>
  </si>
  <si>
    <t xml:space="preserve">One refresh done by runbook alone</t>
  </si>
  <si>
    <t xml:space="preserve">PHASE 3 – Up to 1,000 people (~4 weeks)</t>
  </si>
  <si>
    <t xml:space="preserve">Check capacity</t>
  </si>
  <si>
    <t xml:space="preserve">Review response times and CPU from pilot + Phase 2.</t>
  </si>
  <si>
    <t xml:space="preserve">Lean: move B1 → B2 only if alerts show need. No-risk: already 2 × P0v3</t>
  </si>
  <si>
    <t xml:space="preserve">Load &lt; 3 s at peak</t>
  </si>
  <si>
    <t xml:space="preserve">Teams tab (optional)</t>
  </si>
  <si>
    <t xml:space="preserve">Teams app pointing to the link; Teams admin publishes it.</t>
  </si>
  <si>
    <t xml:space="preserve">Our team → Teams admin</t>
  </si>
  <si>
    <t xml:space="preserve">Tab available on desktop + mobile</t>
  </si>
  <si>
    <t xml:space="preserve">Security review + launch</t>
  </si>
  <si>
    <t xml:space="preserve">Share architecture with IT Security; launch note to practice.</t>
  </si>
  <si>
    <t xml:space="preserve">Charan / IT Security</t>
  </si>
  <si>
    <t xml:space="preserve">Sign-off; launch mail sent</t>
  </si>
  <si>
    <t xml:space="preserve">MONTHLY UPDATE (every month, within 5 working days of month-end)</t>
  </si>
  <si>
    <t xml:space="preserve">Collect extracts</t>
  </si>
  <si>
    <t xml:space="preserve">Utilization, skills, bio, joiners/leavers/transfers.</t>
  </si>
  <si>
    <t xml:space="preserve">All extracts received</t>
  </si>
  <si>
    <t xml:space="preserve">Update master Excel</t>
  </si>
  <si>
    <t xml:space="preserve">Joiners (with email + RL Manager Email), remove leavers, update manager changes.</t>
  </si>
  <si>
    <t xml:space="preserve">Headcount matches HR list</t>
  </si>
  <si>
    <t xml:space="preserve">Update photos</t>
  </si>
  <si>
    <t xml:space="preserve">Add joiners' photos, remove leavers'.</t>
  </si>
  <si>
    <t xml:space="preserve">Run conversion script</t>
  </si>
  <si>
    <t xml:space="preserve">Fix anything the error report flags.</t>
  </si>
  <si>
    <t xml:space="preserve">0 errors</t>
  </si>
  <si>
    <t xml:space="preserve">Upload and check</t>
  </si>
  <si>
    <t xml:space="preserve">Lean: upload as 'preview' and open via admin link. No-risk: deploy to staging slot. Check as test MD, Manager, SA.</t>
  </si>
  <si>
    <t xml:space="preserve">Different method, same goal</t>
  </si>
  <si>
    <t xml:space="preserve">Each level sees correct data</t>
  </si>
  <si>
    <t xml:space="preserve">Publish</t>
  </si>
  <si>
    <t xml:space="preserve">Lean: set preview live. No-risk: swap staging → live.</t>
  </si>
  <si>
    <t xml:space="preserve">Different method</t>
  </si>
  <si>
    <t xml:space="preserve">Live site shows new month</t>
  </si>
  <si>
    <t xml:space="preserve">Announce + review</t>
  </si>
  <si>
    <t xml:space="preserve">Short note; check errors, usage, access log, cost vs budget.</t>
  </si>
  <si>
    <t xml:space="preserve">Charan</t>
  </si>
  <si>
    <t xml:space="preserve">No open issues</t>
  </si>
  <si>
    <t xml:space="preserve">Rollback if needed</t>
  </si>
  <si>
    <t xml:space="preserve">Lean: switch back to last month's file. No-risk: swap slot back. &lt; 5 minutes.</t>
  </si>
  <si>
    <t xml:space="preserve">Previous month live again</t>
  </si>
  <si>
    <t xml:space="preserve">Access changes (as needed)</t>
  </si>
  <si>
    <t xml:space="preserve">New MD/Director → IT updates Entra group; exceptions → Access_Rules.xlsx with approval + expiry.</t>
  </si>
  <si>
    <t xml:space="preserve">IT / Charan</t>
  </si>
  <si>
    <t xml:space="preserve">Effective at next sign-in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</si>
</sst>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0"/>
    <numFmt numFmtId="168" formatCode="#,##0"/>
    <numFmt numFmtId="169" formatCode="0.0"/>
    <numFmt numFmtId="170" formatCode="\₹#,##0;&quot;(₹&quot;#,##0\);\-"/>
    <numFmt numFmtId="171" formatCode="\$#,##0.0000;&quot;($&quot;#,##0.0000\);\-"/>
    <numFmt numFmtId="172" formatCode="#,##0.0"/>
    <numFmt numFmtId="173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4A02"/>
        <bgColor rgb="FF993300"/>
      </patternFill>
    </fill>
    <fill>
      <patternFill patternType="solid">
        <fgColor rgb="FFE3F1E4"/>
        <bgColor rgb="FFE2EEF6"/>
      </patternFill>
    </fill>
    <fill>
      <patternFill patternType="solid">
        <fgColor rgb="FFE2EEF6"/>
        <bgColor rgb="FFE3F1E4"/>
      </patternFill>
    </fill>
    <fill>
      <patternFill patternType="solid">
        <fgColor rgb="FFFBE3D6"/>
        <bgColor rgb="FFE3F1E4"/>
      </patternFill>
    </fill>
    <fill>
      <patternFill patternType="solid">
        <fgColor rgb="FF2E7D32"/>
        <bgColor rgb="FF008000"/>
      </patternFill>
    </fill>
    <fill>
      <patternFill patternType="solid">
        <fgColor rgb="FF1F5F8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3D6"/>
      <rgbColor rgb="FFE2EEF6"/>
      <rgbColor rgb="FF660066"/>
      <rgbColor rgb="FFFF8080"/>
      <rgbColor rgb="FF1F5F8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04A02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17" min="6" style="0" width="10"/>
    <col collapsed="false" customWidth="true" hidden="false" outlineLevel="0" max="18" min="18" style="0" width="44"/>
    <col collapsed="false" customWidth="true" hidden="false" outlineLevel="0" max="19" min="1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  <c r="C5" s="4"/>
      <c r="D5" s="4"/>
      <c r="E5" s="4"/>
      <c r="F5" s="5" t="n">
        <v>95.5</v>
      </c>
      <c r="G5" s="6" t="s">
        <v>4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customFormat="false" ht="15" hidden="false" customHeight="true" outlineLevel="0" collapsed="false">
      <c r="B6" s="4" t="s">
        <v>5</v>
      </c>
      <c r="C6" s="4"/>
      <c r="D6" s="4"/>
      <c r="E6" s="4"/>
      <c r="F6" s="7" t="n">
        <v>0</v>
      </c>
      <c r="G6" s="6" t="s">
        <v>6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15" hidden="false" customHeight="true" outlineLevel="0" collapsed="false">
      <c r="B7" s="4" t="s">
        <v>7</v>
      </c>
      <c r="C7" s="4"/>
      <c r="D7" s="4"/>
      <c r="E7" s="4"/>
      <c r="F7" s="8" t="n">
        <v>730</v>
      </c>
      <c r="G7" s="6" t="s">
        <v>8</v>
      </c>
      <c r="H7" s="6"/>
      <c r="I7" s="6"/>
      <c r="J7" s="6"/>
      <c r="K7" s="6"/>
      <c r="L7" s="6"/>
      <c r="M7" s="6"/>
      <c r="N7" s="6"/>
      <c r="O7" s="6"/>
      <c r="P7" s="6"/>
      <c r="Q7" s="6"/>
    </row>
    <row r="9" customFormat="false" ht="23.85" hidden="false" customHeight="false" outlineLevel="0" collapsed="false">
      <c r="B9" s="3" t="s">
        <v>9</v>
      </c>
      <c r="F9" s="9" t="s">
        <v>10</v>
      </c>
      <c r="G9" s="9" t="s">
        <v>11</v>
      </c>
      <c r="H9" s="9" t="s">
        <v>12</v>
      </c>
    </row>
    <row r="10" customFormat="false" ht="15" hidden="false" customHeight="true" outlineLevel="0" collapsed="false">
      <c r="B10" s="4" t="s">
        <v>13</v>
      </c>
      <c r="C10" s="4"/>
      <c r="D10" s="4"/>
      <c r="E10" s="4"/>
      <c r="F10" s="10" t="n">
        <v>50</v>
      </c>
      <c r="G10" s="10" t="n">
        <v>200</v>
      </c>
      <c r="H10" s="10" t="n">
        <v>1000</v>
      </c>
    </row>
    <row r="11" customFormat="false" ht="15" hidden="false" customHeight="true" outlineLevel="0" collapsed="false">
      <c r="B11" s="4" t="s">
        <v>14</v>
      </c>
      <c r="C11" s="4"/>
      <c r="D11" s="4"/>
      <c r="E11" s="4"/>
      <c r="F11" s="10" t="n">
        <v>10</v>
      </c>
      <c r="G11" s="10" t="n">
        <v>10</v>
      </c>
      <c r="H11" s="10" t="n">
        <v>10</v>
      </c>
    </row>
    <row r="12" customFormat="false" ht="15" hidden="false" customHeight="true" outlineLevel="0" collapsed="false">
      <c r="B12" s="4" t="s">
        <v>15</v>
      </c>
      <c r="C12" s="4"/>
      <c r="D12" s="4"/>
      <c r="E12" s="4"/>
      <c r="F12" s="11" t="n">
        <v>3</v>
      </c>
      <c r="G12" s="11" t="n">
        <v>3</v>
      </c>
      <c r="H12" s="11" t="n">
        <v>3</v>
      </c>
    </row>
    <row r="13" customFormat="false" ht="15" hidden="false" customHeight="true" outlineLevel="0" collapsed="false">
      <c r="B13" s="4" t="s">
        <v>16</v>
      </c>
      <c r="C13" s="4"/>
      <c r="D13" s="4"/>
      <c r="E13" s="4"/>
      <c r="F13" s="10" t="n">
        <v>60</v>
      </c>
      <c r="G13" s="10" t="n">
        <v>60</v>
      </c>
      <c r="H13" s="10" t="n">
        <v>60</v>
      </c>
    </row>
    <row r="14" customFormat="false" ht="15" hidden="false" customHeight="true" outlineLevel="0" collapsed="false">
      <c r="B14" s="4" t="s">
        <v>17</v>
      </c>
      <c r="C14" s="4"/>
      <c r="D14" s="4"/>
      <c r="E14" s="4"/>
      <c r="F14" s="11" t="n">
        <v>3</v>
      </c>
      <c r="G14" s="11" t="n">
        <v>3</v>
      </c>
      <c r="H14" s="11" t="n">
        <v>3</v>
      </c>
    </row>
    <row r="15" customFormat="false" ht="15" hidden="false" customHeight="true" outlineLevel="0" collapsed="false">
      <c r="B15" s="12" t="s">
        <v>18</v>
      </c>
      <c r="C15" s="12"/>
      <c r="D15" s="12"/>
      <c r="E15" s="12"/>
      <c r="F15" s="13" t="n">
        <f aca="false">F10*F11*F12/1024</f>
        <v>1.46484375</v>
      </c>
      <c r="G15" s="13" t="n">
        <f aca="false">G10*G11*G12/1024</f>
        <v>5.859375</v>
      </c>
      <c r="H15" s="13" t="n">
        <f aca="false">H10*H11*H12/1024</f>
        <v>29.296875</v>
      </c>
    </row>
    <row r="16" customFormat="false" ht="15" hidden="false" customHeight="true" outlineLevel="0" collapsed="false">
      <c r="B16" s="12" t="s">
        <v>19</v>
      </c>
      <c r="C16" s="12"/>
      <c r="D16" s="12"/>
      <c r="E16" s="12"/>
      <c r="F16" s="13" t="n">
        <f aca="false">F10*F11*F13/10000</f>
        <v>3</v>
      </c>
      <c r="G16" s="13" t="n">
        <f aca="false">G10*G11*G13/10000</f>
        <v>12</v>
      </c>
      <c r="H16" s="13" t="n">
        <f aca="false">H10*H11*H13/10000</f>
        <v>60</v>
      </c>
    </row>
    <row r="17" customFormat="false" ht="15" hidden="false" customHeight="true" outlineLevel="0" collapsed="false">
      <c r="B17" s="12" t="s">
        <v>20</v>
      </c>
      <c r="C17" s="12"/>
      <c r="D17" s="12"/>
      <c r="E17" s="12"/>
      <c r="F17" s="14" t="n">
        <f aca="false">F10*F14/1024</f>
        <v>0.146484375</v>
      </c>
      <c r="G17" s="14" t="n">
        <f aca="false">G10*G14/1024</f>
        <v>0.5859375</v>
      </c>
      <c r="H17" s="14" t="n">
        <f aca="false">H10*H14/1024</f>
        <v>2.9296875</v>
      </c>
    </row>
    <row r="18" customFormat="false" ht="15" hidden="false" customHeight="true" outlineLevel="0" collapsed="false">
      <c r="B18" s="6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20" customFormat="false" ht="15" hidden="false" customHeight="false" outlineLevel="0" collapsed="false">
      <c r="B20" s="3" t="s">
        <v>22</v>
      </c>
    </row>
    <row r="21" customFormat="false" ht="23.85" hidden="false" customHeight="true" outlineLevel="0" collapsed="false">
      <c r="B21" s="9" t="s">
        <v>23</v>
      </c>
      <c r="C21" s="9"/>
      <c r="D21" s="9"/>
      <c r="E21" s="9"/>
      <c r="F21" s="9" t="s">
        <v>10</v>
      </c>
      <c r="G21" s="9" t="s">
        <v>11</v>
      </c>
      <c r="H21" s="9" t="s">
        <v>12</v>
      </c>
      <c r="I21" s="9" t="s">
        <v>24</v>
      </c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B22" s="15" t="s">
        <v>25</v>
      </c>
      <c r="C22" s="15"/>
      <c r="D22" s="15"/>
      <c r="E22" s="15"/>
      <c r="F22" s="16" t="n">
        <f aca="false">L57</f>
        <v>2060.20702578125</v>
      </c>
      <c r="G22" s="16" t="n">
        <f aca="false">M57</f>
        <v>2068.185603125</v>
      </c>
      <c r="H22" s="16" t="n">
        <f aca="false">N57</f>
        <v>2110.738015625</v>
      </c>
      <c r="I22" s="17" t="s">
        <v>26</v>
      </c>
      <c r="J22" s="17"/>
      <c r="K22" s="17"/>
      <c r="L22" s="17"/>
      <c r="M22" s="17"/>
      <c r="N22" s="17"/>
      <c r="O22" s="17"/>
      <c r="P22" s="17"/>
      <c r="Q22" s="17"/>
    </row>
    <row r="23" customFormat="false" ht="15" hidden="false" customHeight="true" outlineLevel="0" collapsed="false">
      <c r="B23" s="4" t="s">
        <v>27</v>
      </c>
      <c r="C23" s="4"/>
      <c r="D23" s="4"/>
      <c r="E23" s="4"/>
      <c r="F23" s="18" t="n">
        <f aca="false">F22*12</f>
        <v>24722.484309375</v>
      </c>
      <c r="G23" s="18" t="n">
        <f aca="false">G22*12</f>
        <v>24818.2272375</v>
      </c>
      <c r="H23" s="18" t="n">
        <f aca="false">H22*12</f>
        <v>25328.8561875</v>
      </c>
    </row>
    <row r="24" customFormat="false" ht="15" hidden="false" customHeight="true" outlineLevel="0" collapsed="false">
      <c r="B24" s="4" t="s">
        <v>28</v>
      </c>
      <c r="C24" s="4"/>
      <c r="D24" s="4"/>
      <c r="E24" s="4"/>
      <c r="F24" s="18" t="n">
        <f aca="false">F22/F10</f>
        <v>41.204140515625</v>
      </c>
      <c r="G24" s="18" t="n">
        <f aca="false">G22/G10</f>
        <v>10.340928015625</v>
      </c>
      <c r="H24" s="18" t="n">
        <f aca="false">H22/H10</f>
        <v>2.110738015625</v>
      </c>
    </row>
    <row r="25" customFormat="false" ht="15" hidden="false" customHeight="true" outlineLevel="0" collapsed="false">
      <c r="B25" s="19" t="s">
        <v>29</v>
      </c>
      <c r="C25" s="19"/>
      <c r="D25" s="19"/>
      <c r="E25" s="19"/>
      <c r="F25" s="20" t="n">
        <f aca="false">O57</f>
        <v>9461.88229921875</v>
      </c>
      <c r="G25" s="20" t="n">
        <f aca="false">P57</f>
        <v>9488.326696875</v>
      </c>
      <c r="H25" s="20" t="n">
        <f aca="false">Q57</f>
        <v>16740.293484375</v>
      </c>
      <c r="I25" s="17" t="s">
        <v>30</v>
      </c>
      <c r="J25" s="17"/>
      <c r="K25" s="17"/>
      <c r="L25" s="17"/>
      <c r="M25" s="17"/>
      <c r="N25" s="17"/>
      <c r="O25" s="17"/>
      <c r="P25" s="17"/>
      <c r="Q25" s="17"/>
    </row>
    <row r="26" customFormat="false" ht="15" hidden="false" customHeight="true" outlineLevel="0" collapsed="false">
      <c r="B26" s="4" t="s">
        <v>31</v>
      </c>
      <c r="C26" s="4"/>
      <c r="D26" s="4"/>
      <c r="E26" s="4"/>
      <c r="F26" s="18" t="n">
        <f aca="false">F25*12</f>
        <v>113542.587590625</v>
      </c>
      <c r="G26" s="18" t="n">
        <f aca="false">G25*12</f>
        <v>113859.9203625</v>
      </c>
      <c r="H26" s="18" t="n">
        <f aca="false">H25*12</f>
        <v>200883.5218125</v>
      </c>
    </row>
    <row r="27" customFormat="false" ht="15" hidden="false" customHeight="true" outlineLevel="0" collapsed="false">
      <c r="B27" s="4" t="s">
        <v>32</v>
      </c>
      <c r="C27" s="4"/>
      <c r="D27" s="4"/>
      <c r="E27" s="4"/>
      <c r="F27" s="18" t="n">
        <f aca="false">F25/F10</f>
        <v>189.237645984375</v>
      </c>
      <c r="G27" s="18" t="n">
        <f aca="false">G25/G10</f>
        <v>47.441633484375</v>
      </c>
      <c r="H27" s="18" t="n">
        <f aca="false">H25/H10</f>
        <v>16.740293484375</v>
      </c>
    </row>
    <row r="28" customFormat="false" ht="15" hidden="false" customHeight="true" outlineLevel="0" collapsed="false">
      <c r="B28" s="21" t="s">
        <v>33</v>
      </c>
      <c r="C28" s="21"/>
      <c r="D28" s="21"/>
      <c r="E28" s="21"/>
      <c r="F28" s="22" t="n">
        <f aca="false">F25-F22</f>
        <v>7401.6752734375</v>
      </c>
      <c r="G28" s="22" t="n">
        <f aca="false">G25-G22</f>
        <v>7420.14109375</v>
      </c>
      <c r="H28" s="22" t="n">
        <f aca="false">H25-H22</f>
        <v>14629.55546875</v>
      </c>
      <c r="I28" s="6" t="s">
        <v>34</v>
      </c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true" outlineLevel="0" collapsed="false">
      <c r="B29" s="21" t="s">
        <v>35</v>
      </c>
      <c r="C29" s="21"/>
      <c r="D29" s="21"/>
      <c r="E29" s="21"/>
      <c r="F29" s="22" t="n">
        <f aca="false">F28*12</f>
        <v>88820.10328125</v>
      </c>
      <c r="G29" s="22" t="n">
        <f aca="false">G28*12</f>
        <v>89041.693125</v>
      </c>
      <c r="H29" s="22" t="n">
        <f aca="false">H28*12</f>
        <v>175554.665625</v>
      </c>
    </row>
    <row r="32" customFormat="false" ht="15" hidden="false" customHeight="false" outlineLevel="0" collapsed="false">
      <c r="A32" s="3" t="s">
        <v>36</v>
      </c>
    </row>
    <row r="33" customFormat="false" ht="43.5" hidden="false" customHeight="true" outlineLevel="0" collapsed="false">
      <c r="A33" s="23" t="s">
        <v>37</v>
      </c>
      <c r="B33" s="23" t="s">
        <v>38</v>
      </c>
      <c r="C33" s="23" t="s">
        <v>39</v>
      </c>
      <c r="D33" s="23" t="s">
        <v>40</v>
      </c>
      <c r="E33" s="23" t="s">
        <v>41</v>
      </c>
      <c r="F33" s="24" t="s">
        <v>42</v>
      </c>
      <c r="G33" s="24" t="s">
        <v>43</v>
      </c>
      <c r="H33" s="24" t="s">
        <v>44</v>
      </c>
      <c r="I33" s="25" t="s">
        <v>45</v>
      </c>
      <c r="J33" s="25" t="s">
        <v>46</v>
      </c>
      <c r="K33" s="25" t="s">
        <v>47</v>
      </c>
      <c r="L33" s="24" t="s">
        <v>48</v>
      </c>
      <c r="M33" s="24" t="s">
        <v>49</v>
      </c>
      <c r="N33" s="24" t="s">
        <v>50</v>
      </c>
      <c r="O33" s="25" t="s">
        <v>51</v>
      </c>
      <c r="P33" s="25" t="s">
        <v>52</v>
      </c>
      <c r="Q33" s="25" t="s">
        <v>53</v>
      </c>
      <c r="R33" s="23" t="s">
        <v>54</v>
      </c>
      <c r="S33" s="23" t="s">
        <v>55</v>
      </c>
    </row>
    <row r="34" customFormat="false" ht="15" hidden="false" customHeight="false" outlineLevel="0" collapsed="false">
      <c r="A34" s="26" t="n">
        <v>1</v>
      </c>
      <c r="B34" s="4" t="s">
        <v>56</v>
      </c>
      <c r="C34" s="4" t="s">
        <v>57</v>
      </c>
      <c r="D34" s="27" t="n">
        <v>0.018</v>
      </c>
      <c r="E34" s="26" t="s">
        <v>58</v>
      </c>
      <c r="F34" s="28" t="n">
        <f aca="false">$F$7</f>
        <v>730</v>
      </c>
      <c r="G34" s="28" t="n">
        <f aca="false">$F$7</f>
        <v>730</v>
      </c>
      <c r="H34" s="28" t="n">
        <f aca="false">$F$7</f>
        <v>730</v>
      </c>
      <c r="I34" s="29" t="n">
        <v>0</v>
      </c>
      <c r="J34" s="29" t="n">
        <v>0</v>
      </c>
      <c r="K34" s="29" t="n">
        <v>0</v>
      </c>
      <c r="L34" s="30" t="n">
        <f aca="false">$D34*F34*$F$5*(1-$F$6)</f>
        <v>1254.87</v>
      </c>
      <c r="M34" s="30" t="n">
        <f aca="false">$D34*G34*$F$5*(1-$F$6)</f>
        <v>1254.87</v>
      </c>
      <c r="N34" s="30" t="n">
        <f aca="false">$D34*H34*$F$5*(1-$F$6)</f>
        <v>1254.87</v>
      </c>
      <c r="O34" s="31" t="n">
        <f aca="false">$D34*I34*$F$5*(1-$F$6)</f>
        <v>0</v>
      </c>
      <c r="P34" s="31" t="n">
        <f aca="false">$D34*J34*$F$5*(1-$F$6)</f>
        <v>0</v>
      </c>
      <c r="Q34" s="31" t="n">
        <f aca="false">$D34*K34*$F$5*(1-$F$6)</f>
        <v>0</v>
      </c>
      <c r="R34" s="17" t="s">
        <v>59</v>
      </c>
      <c r="S34" s="32"/>
    </row>
    <row r="35" customFormat="false" ht="32.8" hidden="false" customHeight="false" outlineLevel="0" collapsed="false">
      <c r="A35" s="26" t="n">
        <v>2</v>
      </c>
      <c r="B35" s="4" t="s">
        <v>60</v>
      </c>
      <c r="C35" s="4" t="s">
        <v>61</v>
      </c>
      <c r="D35" s="27" t="n">
        <v>0.082</v>
      </c>
      <c r="E35" s="26" t="s">
        <v>62</v>
      </c>
      <c r="F35" s="33" t="n">
        <v>0</v>
      </c>
      <c r="G35" s="33" t="n">
        <v>0</v>
      </c>
      <c r="H35" s="33" t="n">
        <v>0</v>
      </c>
      <c r="I35" s="34" t="n">
        <f aca="false">$F$7</f>
        <v>730</v>
      </c>
      <c r="J35" s="34" t="n">
        <f aca="false">$F$7</f>
        <v>730</v>
      </c>
      <c r="K35" s="34" t="n">
        <f aca="false">2*$F$7</f>
        <v>1460</v>
      </c>
      <c r="L35" s="30" t="n">
        <f aca="false">$D35*F35*$F$5*(1-$F$6)</f>
        <v>0</v>
      </c>
      <c r="M35" s="30" t="n">
        <f aca="false">$D35*G35*$F$5*(1-$F$6)</f>
        <v>0</v>
      </c>
      <c r="N35" s="30" t="n">
        <f aca="false">$D35*H35*$F$5*(1-$F$6)</f>
        <v>0</v>
      </c>
      <c r="O35" s="31" t="n">
        <f aca="false">$D35*I35*$F$5*(1-$F$6)</f>
        <v>5716.63</v>
      </c>
      <c r="P35" s="31" t="n">
        <f aca="false">$D35*J35*$F$5*(1-$F$6)</f>
        <v>5716.63</v>
      </c>
      <c r="Q35" s="31" t="n">
        <f aca="false">$D35*K35*$F$5*(1-$F$6)</f>
        <v>11433.26</v>
      </c>
      <c r="R35" s="17" t="s">
        <v>63</v>
      </c>
      <c r="S35" s="32"/>
    </row>
    <row r="36" customFormat="false" ht="23.85" hidden="false" customHeight="false" outlineLevel="0" collapsed="false">
      <c r="A36" s="26" t="n">
        <v>3</v>
      </c>
      <c r="B36" s="4" t="s">
        <v>64</v>
      </c>
      <c r="C36" s="4" t="s">
        <v>65</v>
      </c>
      <c r="D36" s="35" t="n">
        <v>0</v>
      </c>
      <c r="E36" s="26" t="s">
        <v>66</v>
      </c>
      <c r="F36" s="33" t="n">
        <v>0</v>
      </c>
      <c r="G36" s="33" t="n">
        <v>0</v>
      </c>
      <c r="H36" s="33" t="n">
        <v>0</v>
      </c>
      <c r="I36" s="29" t="n">
        <v>1</v>
      </c>
      <c r="J36" s="29" t="n">
        <v>1</v>
      </c>
      <c r="K36" s="29" t="n">
        <v>1</v>
      </c>
      <c r="L36" s="30" t="n">
        <f aca="false">$D36*F36*$F$5*(1-$F$6)</f>
        <v>0</v>
      </c>
      <c r="M36" s="30" t="n">
        <f aca="false">$D36*G36*$F$5*(1-$F$6)</f>
        <v>0</v>
      </c>
      <c r="N36" s="30" t="n">
        <f aca="false">$D36*H36*$F$5*(1-$F$6)</f>
        <v>0</v>
      </c>
      <c r="O36" s="31" t="n">
        <f aca="false">$D36*I36*$F$5*(1-$F$6)</f>
        <v>0</v>
      </c>
      <c r="P36" s="31" t="n">
        <f aca="false">$D36*J36*$F$5*(1-$F$6)</f>
        <v>0</v>
      </c>
      <c r="Q36" s="31" t="n">
        <f aca="false">$D36*K36*$F$5*(1-$F$6)</f>
        <v>0</v>
      </c>
      <c r="R36" s="17" t="s">
        <v>67</v>
      </c>
      <c r="S36" s="32"/>
    </row>
    <row r="37" customFormat="false" ht="22.35" hidden="false" customHeight="false" outlineLevel="0" collapsed="false">
      <c r="A37" s="26" t="n">
        <v>4</v>
      </c>
      <c r="B37" s="4" t="s">
        <v>68</v>
      </c>
      <c r="C37" s="4" t="s">
        <v>69</v>
      </c>
      <c r="D37" s="35" t="n">
        <v>0</v>
      </c>
      <c r="E37" s="26" t="s">
        <v>66</v>
      </c>
      <c r="F37" s="33" t="n">
        <v>0</v>
      </c>
      <c r="G37" s="33" t="n">
        <v>0</v>
      </c>
      <c r="H37" s="33" t="n">
        <v>0</v>
      </c>
      <c r="I37" s="29" t="n">
        <v>1</v>
      </c>
      <c r="J37" s="29" t="n">
        <v>1</v>
      </c>
      <c r="K37" s="29" t="n">
        <v>1</v>
      </c>
      <c r="L37" s="30" t="n">
        <f aca="false">$D37*F37*$F$5*(1-$F$6)</f>
        <v>0</v>
      </c>
      <c r="M37" s="30" t="n">
        <f aca="false">$D37*G37*$F$5*(1-$F$6)</f>
        <v>0</v>
      </c>
      <c r="N37" s="30" t="n">
        <f aca="false">$D37*H37*$F$5*(1-$F$6)</f>
        <v>0</v>
      </c>
      <c r="O37" s="31" t="n">
        <f aca="false">$D37*I37*$F$5*(1-$F$6)</f>
        <v>0</v>
      </c>
      <c r="P37" s="31" t="n">
        <f aca="false">$D37*J37*$F$5*(1-$F$6)</f>
        <v>0</v>
      </c>
      <c r="Q37" s="31" t="n">
        <f aca="false">$D37*K37*$F$5*(1-$F$6)</f>
        <v>0</v>
      </c>
      <c r="R37" s="17" t="s">
        <v>70</v>
      </c>
      <c r="S37" s="32"/>
    </row>
    <row r="38" customFormat="false" ht="23.85" hidden="false" customHeight="false" outlineLevel="0" collapsed="false">
      <c r="A38" s="26" t="n">
        <v>5</v>
      </c>
      <c r="B38" s="4" t="s">
        <v>71</v>
      </c>
      <c r="C38" s="4" t="s">
        <v>72</v>
      </c>
      <c r="D38" s="27" t="n">
        <v>0.02</v>
      </c>
      <c r="E38" s="26" t="s">
        <v>73</v>
      </c>
      <c r="F38" s="33" t="n">
        <v>0</v>
      </c>
      <c r="G38" s="33" t="n">
        <v>0</v>
      </c>
      <c r="H38" s="33" t="n">
        <v>0</v>
      </c>
      <c r="I38" s="34" t="n">
        <f aca="false">$F$7</f>
        <v>730</v>
      </c>
      <c r="J38" s="34" t="n">
        <f aca="false">$F$7</f>
        <v>730</v>
      </c>
      <c r="K38" s="34" t="n">
        <f aca="false">2*$F$7</f>
        <v>1460</v>
      </c>
      <c r="L38" s="30" t="n">
        <f aca="false">$D38*F38*$F$5*(1-$F$6)</f>
        <v>0</v>
      </c>
      <c r="M38" s="30" t="n">
        <f aca="false">$D38*G38*$F$5*(1-$F$6)</f>
        <v>0</v>
      </c>
      <c r="N38" s="30" t="n">
        <f aca="false">$D38*H38*$F$5*(1-$F$6)</f>
        <v>0</v>
      </c>
      <c r="O38" s="31" t="n">
        <f aca="false">$D38*I38*$F$5*(1-$F$6)</f>
        <v>1394.3</v>
      </c>
      <c r="P38" s="31" t="n">
        <f aca="false">$D38*J38*$F$5*(1-$F$6)</f>
        <v>1394.3</v>
      </c>
      <c r="Q38" s="31" t="n">
        <f aca="false">$D38*K38*$F$5*(1-$F$6)</f>
        <v>2788.6</v>
      </c>
      <c r="R38" s="17" t="s">
        <v>74</v>
      </c>
      <c r="S38" s="32"/>
    </row>
    <row r="39" customFormat="false" ht="22.35" hidden="false" customHeight="false" outlineLevel="0" collapsed="false">
      <c r="A39" s="26" t="n">
        <v>6</v>
      </c>
      <c r="B39" s="4" t="s">
        <v>75</v>
      </c>
      <c r="C39" s="4" t="s">
        <v>76</v>
      </c>
      <c r="D39" s="27" t="n">
        <v>0.01</v>
      </c>
      <c r="E39" s="26" t="s">
        <v>58</v>
      </c>
      <c r="F39" s="28" t="n">
        <f aca="false">$F$7</f>
        <v>730</v>
      </c>
      <c r="G39" s="28" t="n">
        <f aca="false">$F$7</f>
        <v>730</v>
      </c>
      <c r="H39" s="28" t="n">
        <f aca="false">$F$7</f>
        <v>730</v>
      </c>
      <c r="I39" s="34" t="n">
        <f aca="false">$F$7</f>
        <v>730</v>
      </c>
      <c r="J39" s="34" t="n">
        <f aca="false">$F$7</f>
        <v>730</v>
      </c>
      <c r="K39" s="34" t="n">
        <f aca="false">$F$7</f>
        <v>730</v>
      </c>
      <c r="L39" s="30" t="n">
        <f aca="false">$D39*F39*$F$5*(1-$F$6)</f>
        <v>697.15</v>
      </c>
      <c r="M39" s="30" t="n">
        <f aca="false">$D39*G39*$F$5*(1-$F$6)</f>
        <v>697.15</v>
      </c>
      <c r="N39" s="30" t="n">
        <f aca="false">$D39*H39*$F$5*(1-$F$6)</f>
        <v>697.15</v>
      </c>
      <c r="O39" s="31" t="n">
        <f aca="false">$D39*I39*$F$5*(1-$F$6)</f>
        <v>697.15</v>
      </c>
      <c r="P39" s="31" t="n">
        <f aca="false">$D39*J39*$F$5*(1-$F$6)</f>
        <v>697.15</v>
      </c>
      <c r="Q39" s="31" t="n">
        <f aca="false">$D39*K39*$F$5*(1-$F$6)</f>
        <v>697.15</v>
      </c>
      <c r="R39" s="17" t="s">
        <v>77</v>
      </c>
      <c r="S39" s="32"/>
    </row>
    <row r="40" customFormat="false" ht="15" hidden="false" customHeight="false" outlineLevel="0" collapsed="false">
      <c r="A40" s="26" t="n">
        <v>7</v>
      </c>
      <c r="B40" s="4" t="s">
        <v>78</v>
      </c>
      <c r="C40" s="4" t="s">
        <v>79</v>
      </c>
      <c r="D40" s="27" t="n">
        <v>0.01</v>
      </c>
      <c r="E40" s="26" t="s">
        <v>58</v>
      </c>
      <c r="F40" s="33" t="n">
        <v>0</v>
      </c>
      <c r="G40" s="33" t="n">
        <v>0</v>
      </c>
      <c r="H40" s="33" t="n">
        <v>0</v>
      </c>
      <c r="I40" s="34" t="n">
        <f aca="false">$F$7</f>
        <v>730</v>
      </c>
      <c r="J40" s="34" t="n">
        <f aca="false">$F$7</f>
        <v>730</v>
      </c>
      <c r="K40" s="34" t="n">
        <f aca="false">$F$7</f>
        <v>730</v>
      </c>
      <c r="L40" s="30" t="n">
        <f aca="false">$D40*F40*$F$5*(1-$F$6)</f>
        <v>0</v>
      </c>
      <c r="M40" s="30" t="n">
        <f aca="false">$D40*G40*$F$5*(1-$F$6)</f>
        <v>0</v>
      </c>
      <c r="N40" s="30" t="n">
        <f aca="false">$D40*H40*$F$5*(1-$F$6)</f>
        <v>0</v>
      </c>
      <c r="O40" s="31" t="n">
        <f aca="false">$D40*I40*$F$5*(1-$F$6)</f>
        <v>697.15</v>
      </c>
      <c r="P40" s="31" t="n">
        <f aca="false">$D40*J40*$F$5*(1-$F$6)</f>
        <v>697.15</v>
      </c>
      <c r="Q40" s="31" t="n">
        <f aca="false">$D40*K40*$F$5*(1-$F$6)</f>
        <v>697.15</v>
      </c>
      <c r="R40" s="17" t="s">
        <v>80</v>
      </c>
      <c r="S40" s="32"/>
    </row>
    <row r="41" customFormat="false" ht="15" hidden="false" customHeight="false" outlineLevel="0" collapsed="false">
      <c r="A41" s="26" t="n">
        <v>8</v>
      </c>
      <c r="B41" s="4" t="s">
        <v>81</v>
      </c>
      <c r="C41" s="4" t="s">
        <v>82</v>
      </c>
      <c r="D41" s="27" t="n">
        <v>0.01</v>
      </c>
      <c r="E41" s="26" t="s">
        <v>58</v>
      </c>
      <c r="F41" s="33" t="n">
        <v>0</v>
      </c>
      <c r="G41" s="33" t="n">
        <v>0</v>
      </c>
      <c r="H41" s="33" t="n">
        <v>0</v>
      </c>
      <c r="I41" s="34" t="n">
        <f aca="false">$F$7</f>
        <v>730</v>
      </c>
      <c r="J41" s="34" t="n">
        <f aca="false">$F$7</f>
        <v>730</v>
      </c>
      <c r="K41" s="34" t="n">
        <f aca="false">$F$7</f>
        <v>730</v>
      </c>
      <c r="L41" s="30" t="n">
        <f aca="false">$D41*F41*$F$5*(1-$F$6)</f>
        <v>0</v>
      </c>
      <c r="M41" s="30" t="n">
        <f aca="false">$D41*G41*$F$5*(1-$F$6)</f>
        <v>0</v>
      </c>
      <c r="N41" s="30" t="n">
        <f aca="false">$D41*H41*$F$5*(1-$F$6)</f>
        <v>0</v>
      </c>
      <c r="O41" s="31" t="n">
        <f aca="false">$D41*I41*$F$5*(1-$F$6)</f>
        <v>697.15</v>
      </c>
      <c r="P41" s="31" t="n">
        <f aca="false">$D41*J41*$F$5*(1-$F$6)</f>
        <v>697.15</v>
      </c>
      <c r="Q41" s="31" t="n">
        <f aca="false">$D41*K41*$F$5*(1-$F$6)</f>
        <v>697.15</v>
      </c>
      <c r="R41" s="17" t="s">
        <v>80</v>
      </c>
      <c r="S41" s="32"/>
    </row>
    <row r="42" customFormat="false" ht="22.35" hidden="false" customHeight="false" outlineLevel="0" collapsed="false">
      <c r="A42" s="26" t="n">
        <v>9</v>
      </c>
      <c r="B42" s="4" t="s">
        <v>83</v>
      </c>
      <c r="C42" s="4" t="s">
        <v>84</v>
      </c>
      <c r="D42" s="27" t="n">
        <v>0.01</v>
      </c>
      <c r="E42" s="26" t="s">
        <v>85</v>
      </c>
      <c r="F42" s="28" t="n">
        <f aca="false">F15</f>
        <v>1.46484375</v>
      </c>
      <c r="G42" s="28" t="n">
        <f aca="false">G15</f>
        <v>5.859375</v>
      </c>
      <c r="H42" s="28" t="n">
        <f aca="false">H15</f>
        <v>29.296875</v>
      </c>
      <c r="I42" s="34" t="n">
        <f aca="false">F15*1.2</f>
        <v>1.7578125</v>
      </c>
      <c r="J42" s="34" t="n">
        <f aca="false">G15*1.2</f>
        <v>7.03125</v>
      </c>
      <c r="K42" s="34" t="n">
        <f aca="false">H15*1.2</f>
        <v>35.15625</v>
      </c>
      <c r="L42" s="30" t="n">
        <f aca="false">$D42*F42*$F$5*(1-$F$6)</f>
        <v>1.39892578125</v>
      </c>
      <c r="M42" s="30" t="n">
        <f aca="false">$D42*G42*$F$5*(1-$F$6)</f>
        <v>5.595703125</v>
      </c>
      <c r="N42" s="30" t="n">
        <f aca="false">$D42*H42*$F$5*(1-$F$6)</f>
        <v>27.978515625</v>
      </c>
      <c r="O42" s="31" t="n">
        <f aca="false">$D42*I42*$F$5*(1-$F$6)</f>
        <v>1.6787109375</v>
      </c>
      <c r="P42" s="31" t="n">
        <f aca="false">$D42*J42*$F$5*(1-$F$6)</f>
        <v>6.71484375</v>
      </c>
      <c r="Q42" s="31" t="n">
        <f aca="false">$D42*K42*$F$5*(1-$F$6)</f>
        <v>33.57421875</v>
      </c>
      <c r="R42" s="17" t="s">
        <v>86</v>
      </c>
      <c r="S42" s="32"/>
    </row>
    <row r="43" customFormat="false" ht="23.85" hidden="false" customHeight="false" outlineLevel="0" collapsed="false">
      <c r="A43" s="26" t="n">
        <v>10</v>
      </c>
      <c r="B43" s="4" t="s">
        <v>87</v>
      </c>
      <c r="C43" s="4" t="s">
        <v>88</v>
      </c>
      <c r="D43" s="35" t="n">
        <v>0.5</v>
      </c>
      <c r="E43" s="26" t="s">
        <v>89</v>
      </c>
      <c r="F43" s="33" t="n">
        <v>1</v>
      </c>
      <c r="G43" s="33" t="n">
        <v>1</v>
      </c>
      <c r="H43" s="33" t="n">
        <v>1</v>
      </c>
      <c r="I43" s="29" t="n">
        <v>3</v>
      </c>
      <c r="J43" s="29" t="n">
        <v>3</v>
      </c>
      <c r="K43" s="29" t="n">
        <v>3</v>
      </c>
      <c r="L43" s="30" t="n">
        <f aca="false">$D43*F43*$F$5*(1-$F$6)</f>
        <v>47.75</v>
      </c>
      <c r="M43" s="30" t="n">
        <f aca="false">$D43*G43*$F$5*(1-$F$6)</f>
        <v>47.75</v>
      </c>
      <c r="N43" s="30" t="n">
        <f aca="false">$D43*H43*$F$5*(1-$F$6)</f>
        <v>47.75</v>
      </c>
      <c r="O43" s="31" t="n">
        <f aca="false">$D43*I43*$F$5*(1-$F$6)</f>
        <v>143.25</v>
      </c>
      <c r="P43" s="31" t="n">
        <f aca="false">$D43*J43*$F$5*(1-$F$6)</f>
        <v>143.25</v>
      </c>
      <c r="Q43" s="31" t="n">
        <f aca="false">$D43*K43*$F$5*(1-$F$6)</f>
        <v>143.25</v>
      </c>
      <c r="R43" s="17" t="s">
        <v>90</v>
      </c>
      <c r="S43" s="32"/>
    </row>
    <row r="44" customFormat="false" ht="22.35" hidden="false" customHeight="false" outlineLevel="0" collapsed="false">
      <c r="A44" s="26" t="n">
        <v>11</v>
      </c>
      <c r="B44" s="4" t="s">
        <v>91</v>
      </c>
      <c r="C44" s="4" t="s">
        <v>92</v>
      </c>
      <c r="D44" s="27" t="n">
        <v>0.02</v>
      </c>
      <c r="E44" s="26" t="s">
        <v>93</v>
      </c>
      <c r="F44" s="33" t="n">
        <v>1</v>
      </c>
      <c r="G44" s="33" t="n">
        <v>1</v>
      </c>
      <c r="H44" s="33" t="n">
        <v>1</v>
      </c>
      <c r="I44" s="29" t="n">
        <v>2</v>
      </c>
      <c r="J44" s="29" t="n">
        <v>2</v>
      </c>
      <c r="K44" s="29" t="n">
        <v>2</v>
      </c>
      <c r="L44" s="30" t="n">
        <f aca="false">$D44*F44*$F$5*(1-$F$6)</f>
        <v>1.91</v>
      </c>
      <c r="M44" s="30" t="n">
        <f aca="false">$D44*G44*$F$5*(1-$F$6)</f>
        <v>1.91</v>
      </c>
      <c r="N44" s="30" t="n">
        <f aca="false">$D44*H44*$F$5*(1-$F$6)</f>
        <v>1.91</v>
      </c>
      <c r="O44" s="31" t="n">
        <f aca="false">$D44*I44*$F$5*(1-$F$6)</f>
        <v>3.82</v>
      </c>
      <c r="P44" s="31" t="n">
        <f aca="false">$D44*J44*$F$5*(1-$F$6)</f>
        <v>3.82</v>
      </c>
      <c r="Q44" s="31" t="n">
        <f aca="false">$D44*K44*$F$5*(1-$F$6)</f>
        <v>3.82</v>
      </c>
      <c r="R44" s="17" t="s">
        <v>94</v>
      </c>
      <c r="S44" s="32"/>
    </row>
    <row r="45" customFormat="false" ht="15" hidden="false" customHeight="false" outlineLevel="0" collapsed="false">
      <c r="A45" s="26" t="n">
        <v>12</v>
      </c>
      <c r="B45" s="4" t="s">
        <v>95</v>
      </c>
      <c r="C45" s="4" t="s">
        <v>96</v>
      </c>
      <c r="D45" s="27" t="n">
        <v>0.0044</v>
      </c>
      <c r="E45" s="26" t="s">
        <v>97</v>
      </c>
      <c r="F45" s="28" t="n">
        <f aca="false">F16</f>
        <v>3</v>
      </c>
      <c r="G45" s="28" t="n">
        <f aca="false">G16</f>
        <v>12</v>
      </c>
      <c r="H45" s="28" t="n">
        <f aca="false">H16</f>
        <v>60</v>
      </c>
      <c r="I45" s="34" t="n">
        <f aca="false">F16</f>
        <v>3</v>
      </c>
      <c r="J45" s="34" t="n">
        <f aca="false">G16</f>
        <v>12</v>
      </c>
      <c r="K45" s="34" t="n">
        <f aca="false">H16</f>
        <v>60</v>
      </c>
      <c r="L45" s="30" t="n">
        <f aca="false">$D45*F45*$F$5*(1-$F$6)</f>
        <v>1.2606</v>
      </c>
      <c r="M45" s="30" t="n">
        <f aca="false">$D45*G45*$F$5*(1-$F$6)</f>
        <v>5.0424</v>
      </c>
      <c r="N45" s="30" t="n">
        <f aca="false">$D45*H45*$F$5*(1-$F$6)</f>
        <v>25.212</v>
      </c>
      <c r="O45" s="31" t="n">
        <f aca="false">$D45*I45*$F$5*(1-$F$6)</f>
        <v>1.2606</v>
      </c>
      <c r="P45" s="31" t="n">
        <f aca="false">$D45*J45*$F$5*(1-$F$6)</f>
        <v>5.0424</v>
      </c>
      <c r="Q45" s="31" t="n">
        <f aca="false">$D45*K45*$F$5*(1-$F$6)</f>
        <v>25.212</v>
      </c>
      <c r="R45" s="17" t="s">
        <v>98</v>
      </c>
      <c r="S45" s="32"/>
    </row>
    <row r="46" customFormat="false" ht="15" hidden="false" customHeight="false" outlineLevel="0" collapsed="false">
      <c r="A46" s="26" t="n">
        <v>13</v>
      </c>
      <c r="B46" s="4" t="s">
        <v>99</v>
      </c>
      <c r="C46" s="4" t="s">
        <v>100</v>
      </c>
      <c r="D46" s="27" t="n">
        <v>0.055</v>
      </c>
      <c r="E46" s="26" t="s">
        <v>97</v>
      </c>
      <c r="F46" s="33" t="n">
        <v>1</v>
      </c>
      <c r="G46" s="33" t="n">
        <v>1</v>
      </c>
      <c r="H46" s="33" t="n">
        <v>1</v>
      </c>
      <c r="I46" s="29" t="n">
        <v>1</v>
      </c>
      <c r="J46" s="29" t="n">
        <v>1</v>
      </c>
      <c r="K46" s="29" t="n">
        <v>1</v>
      </c>
      <c r="L46" s="30" t="n">
        <f aca="false">$D46*F46*$F$5*(1-$F$6)</f>
        <v>5.2525</v>
      </c>
      <c r="M46" s="30" t="n">
        <f aca="false">$D46*G46*$F$5*(1-$F$6)</f>
        <v>5.2525</v>
      </c>
      <c r="N46" s="30" t="n">
        <f aca="false">$D46*H46*$F$5*(1-$F$6)</f>
        <v>5.2525</v>
      </c>
      <c r="O46" s="31" t="n">
        <f aca="false">$D46*I46*$F$5*(1-$F$6)</f>
        <v>5.2525</v>
      </c>
      <c r="P46" s="31" t="n">
        <f aca="false">$D46*J46*$F$5*(1-$F$6)</f>
        <v>5.2525</v>
      </c>
      <c r="Q46" s="31" t="n">
        <f aca="false">$D46*K46*$F$5*(1-$F$6)</f>
        <v>5.2525</v>
      </c>
      <c r="R46" s="17" t="s">
        <v>101</v>
      </c>
      <c r="S46" s="32"/>
    </row>
    <row r="47" customFormat="false" ht="15" hidden="false" customHeight="false" outlineLevel="0" collapsed="false">
      <c r="A47" s="26" t="n">
        <v>14</v>
      </c>
      <c r="B47" s="4" t="s">
        <v>102</v>
      </c>
      <c r="C47" s="4" t="s">
        <v>103</v>
      </c>
      <c r="D47" s="27" t="n">
        <v>0.03</v>
      </c>
      <c r="E47" s="26" t="s">
        <v>97</v>
      </c>
      <c r="F47" s="33" t="n">
        <v>1</v>
      </c>
      <c r="G47" s="33" t="n">
        <v>1</v>
      </c>
      <c r="H47" s="33" t="n">
        <v>1</v>
      </c>
      <c r="I47" s="29" t="n">
        <v>1</v>
      </c>
      <c r="J47" s="29" t="n">
        <v>1</v>
      </c>
      <c r="K47" s="29" t="n">
        <v>1</v>
      </c>
      <c r="L47" s="30" t="n">
        <f aca="false">$D47*F47*$F$5*(1-$F$6)</f>
        <v>2.865</v>
      </c>
      <c r="M47" s="30" t="n">
        <f aca="false">$D47*G47*$F$5*(1-$F$6)</f>
        <v>2.865</v>
      </c>
      <c r="N47" s="30" t="n">
        <f aca="false">$D47*H47*$F$5*(1-$F$6)</f>
        <v>2.865</v>
      </c>
      <c r="O47" s="31" t="n">
        <f aca="false">$D47*I47*$F$5*(1-$F$6)</f>
        <v>2.865</v>
      </c>
      <c r="P47" s="31" t="n">
        <f aca="false">$D47*J47*$F$5*(1-$F$6)</f>
        <v>2.865</v>
      </c>
      <c r="Q47" s="31" t="n">
        <f aca="false">$D47*K47*$F$5*(1-$F$6)</f>
        <v>2.865</v>
      </c>
      <c r="R47" s="17" t="s">
        <v>104</v>
      </c>
      <c r="S47" s="32"/>
    </row>
    <row r="48" customFormat="false" ht="23.85" hidden="false" customHeight="false" outlineLevel="0" collapsed="false">
      <c r="A48" s="26" t="n">
        <v>15</v>
      </c>
      <c r="B48" s="4" t="s">
        <v>105</v>
      </c>
      <c r="C48" s="4" t="s">
        <v>106</v>
      </c>
      <c r="D48" s="35" t="n">
        <v>0</v>
      </c>
      <c r="E48" s="26" t="s">
        <v>107</v>
      </c>
      <c r="F48" s="33" t="n">
        <v>3</v>
      </c>
      <c r="G48" s="33" t="n">
        <v>3</v>
      </c>
      <c r="H48" s="33" t="n">
        <v>3</v>
      </c>
      <c r="I48" s="29" t="n">
        <v>5</v>
      </c>
      <c r="J48" s="29" t="n">
        <v>5</v>
      </c>
      <c r="K48" s="29" t="n">
        <v>5</v>
      </c>
      <c r="L48" s="30" t="n">
        <f aca="false">$D48*F48*$F$5*(1-$F$6)</f>
        <v>0</v>
      </c>
      <c r="M48" s="30" t="n">
        <f aca="false">$D48*G48*$F$5*(1-$F$6)</f>
        <v>0</v>
      </c>
      <c r="N48" s="30" t="n">
        <f aca="false">$D48*H48*$F$5*(1-$F$6)</f>
        <v>0</v>
      </c>
      <c r="O48" s="31" t="n">
        <f aca="false">$D48*I48*$F$5*(1-$F$6)</f>
        <v>0</v>
      </c>
      <c r="P48" s="31" t="n">
        <f aca="false">$D48*J48*$F$5*(1-$F$6)</f>
        <v>0</v>
      </c>
      <c r="Q48" s="31" t="n">
        <f aca="false">$D48*K48*$F$5*(1-$F$6)</f>
        <v>0</v>
      </c>
      <c r="R48" s="17" t="s">
        <v>108</v>
      </c>
      <c r="S48" s="32"/>
    </row>
    <row r="49" customFormat="false" ht="15" hidden="false" customHeight="false" outlineLevel="0" collapsed="false">
      <c r="A49" s="26" t="n">
        <v>16</v>
      </c>
      <c r="B49" s="4" t="s">
        <v>109</v>
      </c>
      <c r="C49" s="4" t="s">
        <v>110</v>
      </c>
      <c r="D49" s="35" t="n">
        <v>0.5</v>
      </c>
      <c r="E49" s="26" t="s">
        <v>107</v>
      </c>
      <c r="F49" s="33" t="n">
        <v>1</v>
      </c>
      <c r="G49" s="33" t="n">
        <v>1</v>
      </c>
      <c r="H49" s="33" t="n">
        <v>1</v>
      </c>
      <c r="I49" s="29" t="n">
        <v>2</v>
      </c>
      <c r="J49" s="29" t="n">
        <v>2</v>
      </c>
      <c r="K49" s="29" t="n">
        <v>2</v>
      </c>
      <c r="L49" s="30" t="n">
        <f aca="false">$D49*F49*$F$5*(1-$F$6)</f>
        <v>47.75</v>
      </c>
      <c r="M49" s="30" t="n">
        <f aca="false">$D49*G49*$F$5*(1-$F$6)</f>
        <v>47.75</v>
      </c>
      <c r="N49" s="30" t="n">
        <f aca="false">$D49*H49*$F$5*(1-$F$6)</f>
        <v>47.75</v>
      </c>
      <c r="O49" s="31" t="n">
        <f aca="false">$D49*I49*$F$5*(1-$F$6)</f>
        <v>95.5</v>
      </c>
      <c r="P49" s="31" t="n">
        <f aca="false">$D49*J49*$F$5*(1-$F$6)</f>
        <v>95.5</v>
      </c>
      <c r="Q49" s="31" t="n">
        <f aca="false">$D49*K49*$F$5*(1-$F$6)</f>
        <v>95.5</v>
      </c>
      <c r="R49" s="17" t="s">
        <v>111</v>
      </c>
      <c r="S49" s="32"/>
    </row>
    <row r="50" customFormat="false" ht="23.85" hidden="false" customHeight="false" outlineLevel="0" collapsed="false">
      <c r="A50" s="26" t="n">
        <v>17</v>
      </c>
      <c r="B50" s="4" t="s">
        <v>112</v>
      </c>
      <c r="C50" s="4" t="s">
        <v>113</v>
      </c>
      <c r="D50" s="35" t="n">
        <v>3.22</v>
      </c>
      <c r="E50" s="26" t="s">
        <v>85</v>
      </c>
      <c r="F50" s="28" t="n">
        <f aca="false">MAX(0,F17-5)</f>
        <v>0</v>
      </c>
      <c r="G50" s="28" t="n">
        <f aca="false">MAX(0,G17-5)</f>
        <v>0</v>
      </c>
      <c r="H50" s="28" t="n">
        <f aca="false">MAX(0,H17-5)</f>
        <v>0</v>
      </c>
      <c r="I50" s="34" t="n">
        <f aca="false">MAX(0,F17*1.5-5)</f>
        <v>0</v>
      </c>
      <c r="J50" s="34" t="n">
        <f aca="false">MAX(0,G17*1.5-5)</f>
        <v>0</v>
      </c>
      <c r="K50" s="34" t="n">
        <f aca="false">MAX(0,H17*1.5-5)</f>
        <v>0</v>
      </c>
      <c r="L50" s="30" t="n">
        <f aca="false">$D50*F50*$F$5*(1-$F$6)</f>
        <v>0</v>
      </c>
      <c r="M50" s="30" t="n">
        <f aca="false">$D50*G50*$F$5*(1-$F$6)</f>
        <v>0</v>
      </c>
      <c r="N50" s="30" t="n">
        <f aca="false">$D50*H50*$F$5*(1-$F$6)</f>
        <v>0</v>
      </c>
      <c r="O50" s="31" t="n">
        <f aca="false">$D50*I50*$F$5*(1-$F$6)</f>
        <v>0</v>
      </c>
      <c r="P50" s="31" t="n">
        <f aca="false">$D50*J50*$F$5*(1-$F$6)</f>
        <v>0</v>
      </c>
      <c r="Q50" s="31" t="n">
        <f aca="false">$D50*K50*$F$5*(1-$F$6)</f>
        <v>0</v>
      </c>
      <c r="R50" s="17" t="s">
        <v>114</v>
      </c>
      <c r="S50" s="32"/>
    </row>
    <row r="51" customFormat="false" ht="15" hidden="false" customHeight="false" outlineLevel="0" collapsed="false">
      <c r="A51" s="26" t="n">
        <v>18</v>
      </c>
      <c r="B51" s="4" t="s">
        <v>115</v>
      </c>
      <c r="C51" s="4" t="s">
        <v>116</v>
      </c>
      <c r="D51" s="35" t="n">
        <v>0.14</v>
      </c>
      <c r="E51" s="26" t="s">
        <v>117</v>
      </c>
      <c r="F51" s="33" t="n">
        <v>0</v>
      </c>
      <c r="G51" s="33" t="n">
        <v>0</v>
      </c>
      <c r="H51" s="33" t="n">
        <v>0</v>
      </c>
      <c r="I51" s="34" t="n">
        <f aca="false">F17*1.5*2</f>
        <v>0.439453125</v>
      </c>
      <c r="J51" s="34" t="n">
        <f aca="false">G17*1.5*2</f>
        <v>1.7578125</v>
      </c>
      <c r="K51" s="34" t="n">
        <f aca="false">H17*1.5*2</f>
        <v>8.7890625</v>
      </c>
      <c r="L51" s="30" t="n">
        <f aca="false">$D51*F51*$F$5*(1-$F$6)</f>
        <v>0</v>
      </c>
      <c r="M51" s="30" t="n">
        <f aca="false">$D51*G51*$F$5*(1-$F$6)</f>
        <v>0</v>
      </c>
      <c r="N51" s="30" t="n">
        <f aca="false">$D51*H51*$F$5*(1-$F$6)</f>
        <v>0</v>
      </c>
      <c r="O51" s="31" t="n">
        <f aca="false">$D51*I51*$F$5*(1-$F$6)</f>
        <v>5.87548828125</v>
      </c>
      <c r="P51" s="31" t="n">
        <f aca="false">$D51*J51*$F$5*(1-$F$6)</f>
        <v>23.501953125</v>
      </c>
      <c r="Q51" s="31" t="n">
        <f aca="false">$D51*K51*$F$5*(1-$F$6)</f>
        <v>117.509765625</v>
      </c>
      <c r="R51" s="17" t="s">
        <v>118</v>
      </c>
      <c r="S51" s="32"/>
    </row>
    <row r="52" customFormat="false" ht="15" hidden="false" customHeight="false" outlineLevel="0" collapsed="false">
      <c r="A52" s="26" t="n">
        <v>19</v>
      </c>
      <c r="B52" s="4" t="s">
        <v>119</v>
      </c>
      <c r="C52" s="4" t="s">
        <v>120</v>
      </c>
      <c r="D52" s="35" t="n">
        <v>0</v>
      </c>
      <c r="E52" s="26" t="s">
        <v>85</v>
      </c>
      <c r="F52" s="28" t="n">
        <f aca="false">F15</f>
        <v>1.46484375</v>
      </c>
      <c r="G52" s="28" t="n">
        <f aca="false">G15</f>
        <v>5.859375</v>
      </c>
      <c r="H52" s="28" t="n">
        <f aca="false">H15</f>
        <v>29.296875</v>
      </c>
      <c r="I52" s="34" t="n">
        <f aca="false">F15</f>
        <v>1.46484375</v>
      </c>
      <c r="J52" s="34" t="n">
        <f aca="false">G15</f>
        <v>5.859375</v>
      </c>
      <c r="K52" s="34" t="n">
        <f aca="false">H15</f>
        <v>29.296875</v>
      </c>
      <c r="L52" s="30" t="n">
        <f aca="false">$D52*F52*$F$5*(1-$F$6)</f>
        <v>0</v>
      </c>
      <c r="M52" s="30" t="n">
        <f aca="false">$D52*G52*$F$5*(1-$F$6)</f>
        <v>0</v>
      </c>
      <c r="N52" s="30" t="n">
        <f aca="false">$D52*H52*$F$5*(1-$F$6)</f>
        <v>0</v>
      </c>
      <c r="O52" s="31" t="n">
        <f aca="false">$D52*I52*$F$5*(1-$F$6)</f>
        <v>0</v>
      </c>
      <c r="P52" s="31" t="n">
        <f aca="false">$D52*J52*$F$5*(1-$F$6)</f>
        <v>0</v>
      </c>
      <c r="Q52" s="31" t="n">
        <f aca="false">$D52*K52*$F$5*(1-$F$6)</f>
        <v>0</v>
      </c>
      <c r="R52" s="17" t="s">
        <v>121</v>
      </c>
      <c r="S52" s="32"/>
    </row>
    <row r="53" customFormat="false" ht="23.85" hidden="false" customHeight="false" outlineLevel="0" collapsed="false">
      <c r="A53" s="26" t="n">
        <v>20</v>
      </c>
      <c r="B53" s="4" t="s">
        <v>122</v>
      </c>
      <c r="C53" s="4" t="s">
        <v>123</v>
      </c>
      <c r="D53" s="35" t="n">
        <v>0</v>
      </c>
      <c r="E53" s="26" t="s">
        <v>124</v>
      </c>
      <c r="F53" s="33" t="n">
        <v>1</v>
      </c>
      <c r="G53" s="33" t="n">
        <v>1</v>
      </c>
      <c r="H53" s="33" t="n">
        <v>1</v>
      </c>
      <c r="I53" s="29" t="n">
        <v>1</v>
      </c>
      <c r="J53" s="29" t="n">
        <v>1</v>
      </c>
      <c r="K53" s="29" t="n">
        <v>1</v>
      </c>
      <c r="L53" s="30" t="n">
        <f aca="false">$D53*F53*$F$5*(1-$F$6)</f>
        <v>0</v>
      </c>
      <c r="M53" s="30" t="n">
        <f aca="false">$D53*G53*$F$5*(1-$F$6)</f>
        <v>0</v>
      </c>
      <c r="N53" s="30" t="n">
        <f aca="false">$D53*H53*$F$5*(1-$F$6)</f>
        <v>0</v>
      </c>
      <c r="O53" s="31" t="n">
        <f aca="false">$D53*I53*$F$5*(1-$F$6)</f>
        <v>0</v>
      </c>
      <c r="P53" s="31" t="n">
        <f aca="false">$D53*J53*$F$5*(1-$F$6)</f>
        <v>0</v>
      </c>
      <c r="Q53" s="31" t="n">
        <f aca="false">$D53*K53*$F$5*(1-$F$6)</f>
        <v>0</v>
      </c>
      <c r="R53" s="17" t="s">
        <v>125</v>
      </c>
      <c r="S53" s="32"/>
    </row>
    <row r="54" customFormat="false" ht="23.85" hidden="false" customHeight="false" outlineLevel="0" collapsed="false">
      <c r="A54" s="26" t="n">
        <v>21</v>
      </c>
      <c r="B54" s="4" t="s">
        <v>126</v>
      </c>
      <c r="C54" s="4" t="s">
        <v>127</v>
      </c>
      <c r="D54" s="35" t="n">
        <v>0</v>
      </c>
      <c r="E54" s="26" t="s">
        <v>124</v>
      </c>
      <c r="F54" s="33" t="n">
        <v>1</v>
      </c>
      <c r="G54" s="33" t="n">
        <v>1</v>
      </c>
      <c r="H54" s="33" t="n">
        <v>1</v>
      </c>
      <c r="I54" s="29" t="n">
        <v>1</v>
      </c>
      <c r="J54" s="29" t="n">
        <v>1</v>
      </c>
      <c r="K54" s="29" t="n">
        <v>1</v>
      </c>
      <c r="L54" s="30" t="n">
        <f aca="false">$D54*F54*$F$5*(1-$F$6)</f>
        <v>0</v>
      </c>
      <c r="M54" s="30" t="n">
        <f aca="false">$D54*G54*$F$5*(1-$F$6)</f>
        <v>0</v>
      </c>
      <c r="N54" s="30" t="n">
        <f aca="false">$D54*H54*$F$5*(1-$F$6)</f>
        <v>0</v>
      </c>
      <c r="O54" s="31" t="n">
        <f aca="false">$D54*I54*$F$5*(1-$F$6)</f>
        <v>0</v>
      </c>
      <c r="P54" s="31" t="n">
        <f aca="false">$D54*J54*$F$5*(1-$F$6)</f>
        <v>0</v>
      </c>
      <c r="Q54" s="31" t="n">
        <f aca="false">$D54*K54*$F$5*(1-$F$6)</f>
        <v>0</v>
      </c>
      <c r="R54" s="17" t="s">
        <v>128</v>
      </c>
      <c r="S54" s="32"/>
    </row>
    <row r="55" customFormat="false" ht="23.85" hidden="false" customHeight="false" outlineLevel="0" collapsed="false">
      <c r="A55" s="26" t="n">
        <v>22</v>
      </c>
      <c r="B55" s="4" t="s">
        <v>129</v>
      </c>
      <c r="C55" s="4" t="s">
        <v>130</v>
      </c>
      <c r="D55" s="35" t="n">
        <v>0</v>
      </c>
      <c r="E55" s="26" t="s">
        <v>124</v>
      </c>
      <c r="F55" s="33" t="n">
        <v>1</v>
      </c>
      <c r="G55" s="33" t="n">
        <v>1</v>
      </c>
      <c r="H55" s="33" t="n">
        <v>1</v>
      </c>
      <c r="I55" s="29" t="n">
        <v>1</v>
      </c>
      <c r="J55" s="29" t="n">
        <v>1</v>
      </c>
      <c r="K55" s="29" t="n">
        <v>1</v>
      </c>
      <c r="L55" s="30" t="n">
        <f aca="false">$D55*F55*$F$5*(1-$F$6)</f>
        <v>0</v>
      </c>
      <c r="M55" s="30" t="n">
        <f aca="false">$D55*G55*$F$5*(1-$F$6)</f>
        <v>0</v>
      </c>
      <c r="N55" s="30" t="n">
        <f aca="false">$D55*H55*$F$5*(1-$F$6)</f>
        <v>0</v>
      </c>
      <c r="O55" s="31" t="n">
        <f aca="false">$D55*I55*$F$5*(1-$F$6)</f>
        <v>0</v>
      </c>
      <c r="P55" s="31" t="n">
        <f aca="false">$D55*J55*$F$5*(1-$F$6)</f>
        <v>0</v>
      </c>
      <c r="Q55" s="31" t="n">
        <f aca="false">$D55*K55*$F$5*(1-$F$6)</f>
        <v>0</v>
      </c>
      <c r="R55" s="17" t="s">
        <v>131</v>
      </c>
      <c r="S55" s="32"/>
    </row>
    <row r="56" customFormat="false" ht="23.85" hidden="false" customHeight="false" outlineLevel="0" collapsed="false">
      <c r="A56" s="26" t="n">
        <v>23</v>
      </c>
      <c r="B56" s="4" t="s">
        <v>132</v>
      </c>
      <c r="C56" s="4" t="s">
        <v>133</v>
      </c>
      <c r="D56" s="35" t="n">
        <v>0</v>
      </c>
      <c r="E56" s="26" t="s">
        <v>124</v>
      </c>
      <c r="F56" s="33" t="n">
        <v>1</v>
      </c>
      <c r="G56" s="33" t="n">
        <v>1</v>
      </c>
      <c r="H56" s="33" t="n">
        <v>1</v>
      </c>
      <c r="I56" s="29" t="n">
        <v>1</v>
      </c>
      <c r="J56" s="29" t="n">
        <v>1</v>
      </c>
      <c r="K56" s="29" t="n">
        <v>1</v>
      </c>
      <c r="L56" s="30" t="n">
        <f aca="false">$D56*F56*$F$5*(1-$F$6)</f>
        <v>0</v>
      </c>
      <c r="M56" s="30" t="n">
        <f aca="false">$D56*G56*$F$5*(1-$F$6)</f>
        <v>0</v>
      </c>
      <c r="N56" s="30" t="n">
        <f aca="false">$D56*H56*$F$5*(1-$F$6)</f>
        <v>0</v>
      </c>
      <c r="O56" s="31" t="n">
        <f aca="false">$D56*I56*$F$5*(1-$F$6)</f>
        <v>0</v>
      </c>
      <c r="P56" s="31" t="n">
        <f aca="false">$D56*J56*$F$5*(1-$F$6)</f>
        <v>0</v>
      </c>
      <c r="Q56" s="31" t="n">
        <f aca="false">$D56*K56*$F$5*(1-$F$6)</f>
        <v>0</v>
      </c>
      <c r="R56" s="17" t="s">
        <v>134</v>
      </c>
      <c r="S56" s="32"/>
    </row>
    <row r="57" customFormat="false" ht="15" hidden="false" customHeight="false" outlineLevel="0" collapsed="false">
      <c r="B57" s="21" t="s">
        <v>135</v>
      </c>
      <c r="L57" s="22" t="n">
        <f aca="false">SUM(L34:L56)</f>
        <v>2060.20702578125</v>
      </c>
      <c r="M57" s="22" t="n">
        <f aca="false">SUM(M34:M56)</f>
        <v>2068.185603125</v>
      </c>
      <c r="N57" s="22" t="n">
        <f aca="false">SUM(N34:N56)</f>
        <v>2110.738015625</v>
      </c>
      <c r="O57" s="22" t="n">
        <f aca="false">SUM(O34:O56)</f>
        <v>9461.88229921875</v>
      </c>
      <c r="P57" s="22" t="n">
        <f aca="false">SUM(P34:P56)</f>
        <v>9488.326696875</v>
      </c>
      <c r="Q57" s="22" t="n">
        <f aca="false">SUM(Q34:Q56)</f>
        <v>16740.293484375</v>
      </c>
      <c r="S57" s="22" t="str">
        <f aca="false">IF(COUNT(S34:S56)=0,"",SUM(S34:S56))</f>
        <v/>
      </c>
    </row>
    <row r="60" customFormat="false" ht="15" hidden="false" customHeight="false" outlineLevel="0" collapsed="false">
      <c r="A60" s="3" t="s">
        <v>136</v>
      </c>
    </row>
    <row r="61" customFormat="false" ht="15" hidden="false" customHeight="true" outlineLevel="0" collapsed="false">
      <c r="A61" s="9" t="s">
        <v>37</v>
      </c>
      <c r="B61" s="9" t="s">
        <v>137</v>
      </c>
      <c r="C61" s="9" t="s">
        <v>138</v>
      </c>
      <c r="D61" s="9"/>
      <c r="E61" s="9"/>
      <c r="F61" s="9" t="s">
        <v>139</v>
      </c>
      <c r="G61" s="9"/>
      <c r="H61" s="9"/>
      <c r="I61" s="9" t="s">
        <v>140</v>
      </c>
      <c r="J61" s="9"/>
      <c r="K61" s="9"/>
      <c r="L61" s="9" t="s">
        <v>141</v>
      </c>
      <c r="M61" s="9"/>
      <c r="N61" s="9"/>
      <c r="O61" s="9" t="s">
        <v>142</v>
      </c>
      <c r="P61" s="9"/>
      <c r="Q61" s="9"/>
    </row>
    <row r="62" customFormat="false" ht="39.75" hidden="false" customHeight="true" outlineLevel="0" collapsed="false">
      <c r="A62" s="26" t="n">
        <v>1</v>
      </c>
      <c r="B62" s="4" t="s">
        <v>143</v>
      </c>
      <c r="C62" s="4" t="s">
        <v>144</v>
      </c>
      <c r="D62" s="4"/>
      <c r="E62" s="4"/>
      <c r="F62" s="4" t="s">
        <v>145</v>
      </c>
      <c r="G62" s="4"/>
      <c r="H62" s="4"/>
      <c r="I62" s="4" t="s">
        <v>146</v>
      </c>
      <c r="J62" s="4"/>
      <c r="K62" s="4"/>
      <c r="L62" s="4" t="s">
        <v>147</v>
      </c>
      <c r="M62" s="4"/>
      <c r="N62" s="4"/>
      <c r="O62" s="4" t="s">
        <v>148</v>
      </c>
      <c r="P62" s="4"/>
      <c r="Q62" s="4"/>
    </row>
    <row r="63" customFormat="false" ht="39.75" hidden="false" customHeight="true" outlineLevel="0" collapsed="false">
      <c r="A63" s="26" t="n">
        <v>2</v>
      </c>
      <c r="B63" s="4" t="s">
        <v>149</v>
      </c>
      <c r="C63" s="4" t="s">
        <v>150</v>
      </c>
      <c r="D63" s="4"/>
      <c r="E63" s="4"/>
      <c r="F63" s="4" t="s">
        <v>151</v>
      </c>
      <c r="G63" s="4"/>
      <c r="H63" s="4"/>
      <c r="I63" s="4" t="s">
        <v>152</v>
      </c>
      <c r="J63" s="4"/>
      <c r="K63" s="4"/>
      <c r="L63" s="4" t="s">
        <v>153</v>
      </c>
      <c r="M63" s="4"/>
      <c r="N63" s="4"/>
      <c r="O63" s="4" t="s">
        <v>148</v>
      </c>
      <c r="P63" s="4"/>
      <c r="Q63" s="4"/>
    </row>
    <row r="64" customFormat="false" ht="39.75" hidden="false" customHeight="true" outlineLevel="0" collapsed="false">
      <c r="A64" s="26" t="n">
        <v>3</v>
      </c>
      <c r="B64" s="4" t="s">
        <v>154</v>
      </c>
      <c r="C64" s="4" t="s">
        <v>155</v>
      </c>
      <c r="D64" s="4"/>
      <c r="E64" s="4"/>
      <c r="F64" s="4" t="s">
        <v>156</v>
      </c>
      <c r="G64" s="4"/>
      <c r="H64" s="4"/>
      <c r="I64" s="4" t="s">
        <v>157</v>
      </c>
      <c r="J64" s="4"/>
      <c r="K64" s="4"/>
      <c r="L64" s="4" t="s">
        <v>158</v>
      </c>
      <c r="M64" s="4"/>
      <c r="N64" s="4"/>
      <c r="O64" s="4" t="s">
        <v>159</v>
      </c>
      <c r="P64" s="4"/>
      <c r="Q64" s="4"/>
    </row>
    <row r="65" customFormat="false" ht="39.75" hidden="false" customHeight="true" outlineLevel="0" collapsed="false">
      <c r="A65" s="26" t="n">
        <v>4</v>
      </c>
      <c r="B65" s="4" t="s">
        <v>160</v>
      </c>
      <c r="C65" s="4" t="s">
        <v>161</v>
      </c>
      <c r="D65" s="4"/>
      <c r="E65" s="4"/>
      <c r="F65" s="4" t="s">
        <v>162</v>
      </c>
      <c r="G65" s="4"/>
      <c r="H65" s="4"/>
      <c r="I65" s="4" t="s">
        <v>163</v>
      </c>
      <c r="J65" s="4"/>
      <c r="K65" s="4"/>
      <c r="L65" s="4" t="s">
        <v>164</v>
      </c>
      <c r="M65" s="4"/>
      <c r="N65" s="4"/>
      <c r="O65" s="4" t="s">
        <v>165</v>
      </c>
      <c r="P65" s="4"/>
      <c r="Q65" s="4"/>
    </row>
    <row r="66" customFormat="false" ht="39.75" hidden="false" customHeight="true" outlineLevel="0" collapsed="false">
      <c r="A66" s="26" t="n">
        <v>5</v>
      </c>
      <c r="B66" s="4" t="s">
        <v>166</v>
      </c>
      <c r="C66" s="4" t="s">
        <v>167</v>
      </c>
      <c r="D66" s="4"/>
      <c r="E66" s="4"/>
      <c r="F66" s="4" t="s">
        <v>168</v>
      </c>
      <c r="G66" s="4"/>
      <c r="H66" s="4"/>
      <c r="I66" s="4" t="s">
        <v>169</v>
      </c>
      <c r="J66" s="4"/>
      <c r="K66" s="4"/>
      <c r="L66" s="4" t="s">
        <v>170</v>
      </c>
      <c r="M66" s="4"/>
      <c r="N66" s="4"/>
      <c r="O66" s="4" t="s">
        <v>171</v>
      </c>
      <c r="P66" s="4"/>
      <c r="Q66" s="4"/>
    </row>
    <row r="67" customFormat="false" ht="39.75" hidden="false" customHeight="true" outlineLevel="0" collapsed="false">
      <c r="A67" s="26" t="n">
        <v>6</v>
      </c>
      <c r="B67" s="4" t="s">
        <v>172</v>
      </c>
      <c r="C67" s="4" t="s">
        <v>173</v>
      </c>
      <c r="D67" s="4"/>
      <c r="E67" s="4"/>
      <c r="F67" s="4" t="s">
        <v>174</v>
      </c>
      <c r="G67" s="4"/>
      <c r="H67" s="4"/>
      <c r="I67" s="4" t="s">
        <v>175</v>
      </c>
      <c r="J67" s="4"/>
      <c r="K67" s="4"/>
      <c r="L67" s="4" t="s">
        <v>176</v>
      </c>
      <c r="M67" s="4"/>
      <c r="N67" s="4"/>
      <c r="O67" s="4" t="s">
        <v>177</v>
      </c>
      <c r="P67" s="4"/>
      <c r="Q67" s="4"/>
    </row>
    <row r="68" customFormat="false" ht="39.75" hidden="false" customHeight="true" outlineLevel="0" collapsed="false">
      <c r="A68" s="26" t="n">
        <v>7</v>
      </c>
      <c r="B68" s="4" t="s">
        <v>178</v>
      </c>
      <c r="C68" s="4" t="s">
        <v>179</v>
      </c>
      <c r="D68" s="4"/>
      <c r="E68" s="4"/>
      <c r="F68" s="4" t="s">
        <v>180</v>
      </c>
      <c r="G68" s="4"/>
      <c r="H68" s="4"/>
      <c r="I68" s="4" t="s">
        <v>181</v>
      </c>
      <c r="J68" s="4"/>
      <c r="K68" s="4"/>
      <c r="L68" s="4" t="s">
        <v>182</v>
      </c>
      <c r="M68" s="4"/>
      <c r="N68" s="4"/>
      <c r="O68" s="4" t="s">
        <v>183</v>
      </c>
      <c r="P68" s="4"/>
      <c r="Q68" s="4"/>
    </row>
    <row r="69" customFormat="false" ht="39.75" hidden="false" customHeight="true" outlineLevel="0" collapsed="false">
      <c r="A69" s="26" t="n">
        <v>8</v>
      </c>
      <c r="B69" s="4" t="s">
        <v>184</v>
      </c>
      <c r="C69" s="4" t="s">
        <v>185</v>
      </c>
      <c r="D69" s="4"/>
      <c r="E69" s="4"/>
      <c r="F69" s="4" t="s">
        <v>186</v>
      </c>
      <c r="G69" s="4"/>
      <c r="H69" s="4"/>
      <c r="I69" s="4" t="s">
        <v>187</v>
      </c>
      <c r="J69" s="4"/>
      <c r="K69" s="4"/>
      <c r="L69" s="4" t="s">
        <v>188</v>
      </c>
      <c r="M69" s="4"/>
      <c r="N69" s="4"/>
      <c r="O69" s="4" t="s">
        <v>189</v>
      </c>
      <c r="P69" s="4"/>
      <c r="Q69" s="4"/>
    </row>
    <row r="70" customFormat="false" ht="39.75" hidden="false" customHeight="true" outlineLevel="0" collapsed="false">
      <c r="A70" s="26" t="n">
        <v>9</v>
      </c>
      <c r="B70" s="4" t="s">
        <v>190</v>
      </c>
      <c r="C70" s="4" t="s">
        <v>191</v>
      </c>
      <c r="D70" s="4"/>
      <c r="E70" s="4"/>
      <c r="F70" s="4" t="s">
        <v>192</v>
      </c>
      <c r="G70" s="4"/>
      <c r="H70" s="4"/>
      <c r="I70" s="4" t="s">
        <v>193</v>
      </c>
      <c r="J70" s="4"/>
      <c r="K70" s="4"/>
      <c r="L70" s="4" t="s">
        <v>194</v>
      </c>
      <c r="M70" s="4"/>
      <c r="N70" s="4"/>
      <c r="O70" s="4" t="s">
        <v>189</v>
      </c>
      <c r="P70" s="4"/>
      <c r="Q70" s="4"/>
    </row>
    <row r="71" customFormat="false" ht="39.75" hidden="false" customHeight="true" outlineLevel="0" collapsed="false">
      <c r="A71" s="26" t="n">
        <v>10</v>
      </c>
      <c r="B71" s="4" t="s">
        <v>195</v>
      </c>
      <c r="C71" s="4" t="s">
        <v>196</v>
      </c>
      <c r="D71" s="4"/>
      <c r="E71" s="4"/>
      <c r="F71" s="4" t="s">
        <v>197</v>
      </c>
      <c r="G71" s="4"/>
      <c r="H71" s="4"/>
      <c r="I71" s="4" t="s">
        <v>198</v>
      </c>
      <c r="J71" s="4"/>
      <c r="K71" s="4"/>
      <c r="L71" s="4" t="s">
        <v>199</v>
      </c>
      <c r="M71" s="4"/>
      <c r="N71" s="4"/>
      <c r="O71" s="4" t="s">
        <v>200</v>
      </c>
      <c r="P71" s="4"/>
      <c r="Q71" s="4"/>
    </row>
    <row r="73" customFormat="false" ht="15" hidden="false" customHeight="false" outlineLevel="0" collapsed="false">
      <c r="A73" s="3" t="s">
        <v>201</v>
      </c>
    </row>
    <row r="74" customFormat="false" ht="15" hidden="false" customHeight="false" outlineLevel="0" collapsed="false">
      <c r="A74" s="36" t="s">
        <v>202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customFormat="false" ht="15" hidden="false" customHeight="false" outlineLevel="0" collapsed="false">
      <c r="A75" s="36" t="s">
        <v>203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customFormat="false" ht="15" hidden="false" customHeight="false" outlineLevel="0" collapsed="false">
      <c r="A76" s="36" t="s">
        <v>204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customFormat="false" ht="15" hidden="false" customHeight="false" outlineLevel="0" collapsed="false">
      <c r="A77" s="36" t="s">
        <v>205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customFormat="false" ht="15" hidden="false" customHeight="false" outlineLevel="0" collapsed="false">
      <c r="A78" s="36" t="s">
        <v>206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</sheetData>
  <mergeCells count="88">
    <mergeCell ref="B5:E5"/>
    <mergeCell ref="G5:Q5"/>
    <mergeCell ref="B6:E6"/>
    <mergeCell ref="G6:Q6"/>
    <mergeCell ref="B7:E7"/>
    <mergeCell ref="G7:Q7"/>
    <mergeCell ref="B10:E10"/>
    <mergeCell ref="B11:E11"/>
    <mergeCell ref="B12:E12"/>
    <mergeCell ref="B13:E13"/>
    <mergeCell ref="B14:E14"/>
    <mergeCell ref="B15:E15"/>
    <mergeCell ref="B16:E16"/>
    <mergeCell ref="B17:E17"/>
    <mergeCell ref="B18:Q18"/>
    <mergeCell ref="B21:E21"/>
    <mergeCell ref="I21:Q21"/>
    <mergeCell ref="B22:E22"/>
    <mergeCell ref="I22:Q22"/>
    <mergeCell ref="B23:E23"/>
    <mergeCell ref="B24:E24"/>
    <mergeCell ref="B25:E25"/>
    <mergeCell ref="I25:Q25"/>
    <mergeCell ref="B26:E26"/>
    <mergeCell ref="B27:E27"/>
    <mergeCell ref="B28:E28"/>
    <mergeCell ref="I28:Q28"/>
    <mergeCell ref="B29:E29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C65:E65"/>
    <mergeCell ref="F65:H65"/>
    <mergeCell ref="I65:K65"/>
    <mergeCell ref="L65:N65"/>
    <mergeCell ref="O65:Q65"/>
    <mergeCell ref="C66:E66"/>
    <mergeCell ref="F66:H66"/>
    <mergeCell ref="I66:K66"/>
    <mergeCell ref="L66:N66"/>
    <mergeCell ref="O66:Q66"/>
    <mergeCell ref="C67:E67"/>
    <mergeCell ref="F67:H67"/>
    <mergeCell ref="I67:K67"/>
    <mergeCell ref="L67:N67"/>
    <mergeCell ref="O67:Q67"/>
    <mergeCell ref="C68:E68"/>
    <mergeCell ref="F68:H68"/>
    <mergeCell ref="I68:K68"/>
    <mergeCell ref="L68:N68"/>
    <mergeCell ref="O68:Q68"/>
    <mergeCell ref="C69:E69"/>
    <mergeCell ref="F69:H69"/>
    <mergeCell ref="I69:K69"/>
    <mergeCell ref="L69:N69"/>
    <mergeCell ref="O69:Q69"/>
    <mergeCell ref="C70:E70"/>
    <mergeCell ref="F70:H70"/>
    <mergeCell ref="I70:K70"/>
    <mergeCell ref="L70:N70"/>
    <mergeCell ref="O70:Q70"/>
    <mergeCell ref="C71:E71"/>
    <mergeCell ref="F71:H71"/>
    <mergeCell ref="I71:K71"/>
    <mergeCell ref="L71:N71"/>
    <mergeCell ref="O71:Q71"/>
    <mergeCell ref="A74:Q74"/>
    <mergeCell ref="A75:Q75"/>
    <mergeCell ref="A76:Q76"/>
    <mergeCell ref="A77:Q77"/>
    <mergeCell ref="A78:Q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15" hidden="false" customHeight="false" outlineLevel="0" collapsed="false">
      <c r="A4" s="23" t="s">
        <v>37</v>
      </c>
      <c r="B4" s="23" t="s">
        <v>209</v>
      </c>
      <c r="C4" s="23" t="s">
        <v>210</v>
      </c>
      <c r="D4" s="23" t="s">
        <v>211</v>
      </c>
      <c r="E4" s="23" t="s">
        <v>212</v>
      </c>
      <c r="F4" s="23" t="s">
        <v>213</v>
      </c>
      <c r="G4" s="23" t="s">
        <v>214</v>
      </c>
    </row>
    <row r="5" customFormat="false" ht="15" hidden="false" customHeight="false" outlineLevel="0" collapsed="false">
      <c r="A5" s="37" t="s">
        <v>215</v>
      </c>
      <c r="B5" s="37"/>
      <c r="C5" s="37"/>
      <c r="D5" s="37"/>
      <c r="E5" s="37"/>
      <c r="F5" s="37"/>
      <c r="G5" s="37"/>
    </row>
    <row r="6" customFormat="false" ht="23.85" hidden="false" customHeight="false" outlineLevel="0" collapsed="false">
      <c r="A6" s="26" t="n">
        <v>1</v>
      </c>
      <c r="B6" s="4" t="s">
        <v>216</v>
      </c>
      <c r="C6" s="4" t="s">
        <v>217</v>
      </c>
      <c r="D6" s="4" t="s">
        <v>218</v>
      </c>
      <c r="E6" s="4" t="s">
        <v>124</v>
      </c>
      <c r="F6" s="4" t="s">
        <v>219</v>
      </c>
      <c r="G6" s="26" t="s">
        <v>220</v>
      </c>
    </row>
    <row r="7" customFormat="false" ht="23.85" hidden="false" customHeight="false" outlineLevel="0" collapsed="false">
      <c r="A7" s="26" t="n">
        <v>2</v>
      </c>
      <c r="B7" s="4" t="s">
        <v>221</v>
      </c>
      <c r="C7" s="4" t="s">
        <v>222</v>
      </c>
      <c r="D7" s="4" t="s">
        <v>223</v>
      </c>
      <c r="E7" s="4" t="s">
        <v>124</v>
      </c>
      <c r="F7" s="4" t="s">
        <v>224</v>
      </c>
      <c r="G7" s="26" t="s">
        <v>220</v>
      </c>
    </row>
    <row r="8" customFormat="false" ht="23.85" hidden="false" customHeight="false" outlineLevel="0" collapsed="false">
      <c r="A8" s="26" t="n">
        <v>3</v>
      </c>
      <c r="B8" s="4" t="s">
        <v>225</v>
      </c>
      <c r="C8" s="4" t="s">
        <v>226</v>
      </c>
      <c r="D8" s="4" t="s">
        <v>227</v>
      </c>
      <c r="E8" s="4" t="s">
        <v>124</v>
      </c>
      <c r="F8" s="4" t="s">
        <v>228</v>
      </c>
      <c r="G8" s="26" t="s">
        <v>220</v>
      </c>
    </row>
    <row r="9" customFormat="false" ht="15" hidden="false" customHeight="false" outlineLevel="0" collapsed="false">
      <c r="A9" s="26" t="n">
        <v>4</v>
      </c>
      <c r="B9" s="4" t="s">
        <v>229</v>
      </c>
      <c r="C9" s="4" t="s">
        <v>230</v>
      </c>
      <c r="D9" s="4" t="s">
        <v>231</v>
      </c>
      <c r="E9" s="4" t="s">
        <v>124</v>
      </c>
      <c r="F9" s="4" t="s">
        <v>232</v>
      </c>
      <c r="G9" s="26" t="s">
        <v>220</v>
      </c>
    </row>
    <row r="10" customFormat="false" ht="15" hidden="false" customHeight="false" outlineLevel="0" collapsed="false">
      <c r="A10" s="37" t="s">
        <v>233</v>
      </c>
      <c r="B10" s="37"/>
      <c r="C10" s="37"/>
      <c r="D10" s="37"/>
      <c r="E10" s="37"/>
      <c r="F10" s="37"/>
      <c r="G10" s="37"/>
    </row>
    <row r="11" customFormat="false" ht="35.05" hidden="false" customHeight="false" outlineLevel="0" collapsed="false">
      <c r="A11" s="26" t="n">
        <v>5</v>
      </c>
      <c r="B11" s="4" t="s">
        <v>234</v>
      </c>
      <c r="C11" s="4" t="s">
        <v>235</v>
      </c>
      <c r="D11" s="4" t="s">
        <v>236</v>
      </c>
      <c r="E11" s="4" t="s">
        <v>124</v>
      </c>
      <c r="F11" s="4" t="s">
        <v>237</v>
      </c>
      <c r="G11" s="26" t="s">
        <v>220</v>
      </c>
    </row>
    <row r="12" customFormat="false" ht="23.85" hidden="false" customHeight="false" outlineLevel="0" collapsed="false">
      <c r="A12" s="26" t="n">
        <v>6</v>
      </c>
      <c r="B12" s="4" t="s">
        <v>238</v>
      </c>
      <c r="C12" s="4" t="s">
        <v>239</v>
      </c>
      <c r="D12" s="4" t="s">
        <v>236</v>
      </c>
      <c r="E12" s="4" t="s">
        <v>124</v>
      </c>
      <c r="F12" s="4" t="s">
        <v>240</v>
      </c>
      <c r="G12" s="26" t="s">
        <v>220</v>
      </c>
    </row>
    <row r="13" customFormat="false" ht="23.85" hidden="false" customHeight="false" outlineLevel="0" collapsed="false">
      <c r="A13" s="26" t="n">
        <v>7</v>
      </c>
      <c r="B13" s="4" t="s">
        <v>241</v>
      </c>
      <c r="C13" s="4" t="s">
        <v>242</v>
      </c>
      <c r="D13" s="4" t="s">
        <v>236</v>
      </c>
      <c r="E13" s="4" t="s">
        <v>124</v>
      </c>
      <c r="F13" s="4" t="s">
        <v>243</v>
      </c>
      <c r="G13" s="26" t="s">
        <v>220</v>
      </c>
    </row>
    <row r="14" customFormat="false" ht="23.85" hidden="false" customHeight="false" outlineLevel="0" collapsed="false">
      <c r="A14" s="26" t="n">
        <v>8</v>
      </c>
      <c r="B14" s="4" t="s">
        <v>244</v>
      </c>
      <c r="C14" s="4" t="s">
        <v>245</v>
      </c>
      <c r="D14" s="4" t="s">
        <v>236</v>
      </c>
      <c r="E14" s="4" t="s">
        <v>124</v>
      </c>
      <c r="F14" s="4" t="s">
        <v>246</v>
      </c>
      <c r="G14" s="26" t="s">
        <v>220</v>
      </c>
    </row>
    <row r="15" customFormat="false" ht="23.85" hidden="false" customHeight="false" outlineLevel="0" collapsed="false">
      <c r="A15" s="26" t="n">
        <v>9</v>
      </c>
      <c r="B15" s="4" t="s">
        <v>247</v>
      </c>
      <c r="C15" s="4" t="s">
        <v>248</v>
      </c>
      <c r="D15" s="4" t="s">
        <v>236</v>
      </c>
      <c r="E15" s="4" t="s">
        <v>124</v>
      </c>
      <c r="F15" s="4" t="s">
        <v>249</v>
      </c>
      <c r="G15" s="26" t="s">
        <v>220</v>
      </c>
    </row>
    <row r="16" customFormat="false" ht="15" hidden="false" customHeight="false" outlineLevel="0" collapsed="false">
      <c r="A16" s="37" t="s">
        <v>250</v>
      </c>
      <c r="B16" s="37"/>
      <c r="C16" s="37"/>
      <c r="D16" s="37"/>
      <c r="E16" s="37"/>
      <c r="F16" s="37"/>
      <c r="G16" s="37"/>
    </row>
    <row r="17" customFormat="false" ht="23.85" hidden="false" customHeight="false" outlineLevel="0" collapsed="false">
      <c r="A17" s="26" t="n">
        <v>10</v>
      </c>
      <c r="B17" s="4" t="s">
        <v>251</v>
      </c>
      <c r="C17" s="4" t="s">
        <v>252</v>
      </c>
      <c r="D17" s="4" t="s">
        <v>253</v>
      </c>
      <c r="E17" s="4" t="s">
        <v>124</v>
      </c>
      <c r="F17" s="4" t="s">
        <v>254</v>
      </c>
      <c r="G17" s="26" t="s">
        <v>220</v>
      </c>
    </row>
    <row r="18" customFormat="false" ht="35.05" hidden="false" customHeight="false" outlineLevel="0" collapsed="false">
      <c r="A18" s="26" t="n">
        <v>11</v>
      </c>
      <c r="B18" s="4" t="s">
        <v>255</v>
      </c>
      <c r="C18" s="4" t="s">
        <v>256</v>
      </c>
      <c r="D18" s="4" t="s">
        <v>257</v>
      </c>
      <c r="E18" s="4" t="s">
        <v>258</v>
      </c>
      <c r="F18" s="4" t="s">
        <v>259</v>
      </c>
      <c r="G18" s="26" t="s">
        <v>220</v>
      </c>
    </row>
    <row r="19" customFormat="false" ht="35.05" hidden="false" customHeight="false" outlineLevel="0" collapsed="false">
      <c r="A19" s="26" t="n">
        <v>12</v>
      </c>
      <c r="B19" s="4" t="s">
        <v>260</v>
      </c>
      <c r="C19" s="4" t="s">
        <v>261</v>
      </c>
      <c r="D19" s="4" t="s">
        <v>236</v>
      </c>
      <c r="E19" s="4" t="s">
        <v>262</v>
      </c>
      <c r="F19" s="4" t="s">
        <v>263</v>
      </c>
      <c r="G19" s="26" t="s">
        <v>220</v>
      </c>
    </row>
    <row r="20" customFormat="false" ht="35.05" hidden="false" customHeight="false" outlineLevel="0" collapsed="false">
      <c r="A20" s="26" t="n">
        <v>13</v>
      </c>
      <c r="B20" s="4" t="s">
        <v>264</v>
      </c>
      <c r="C20" s="4" t="s">
        <v>265</v>
      </c>
      <c r="D20" s="4" t="s">
        <v>236</v>
      </c>
      <c r="E20" s="4" t="s">
        <v>266</v>
      </c>
      <c r="F20" s="4" t="s">
        <v>267</v>
      </c>
      <c r="G20" s="26" t="s">
        <v>220</v>
      </c>
    </row>
    <row r="21" customFormat="false" ht="23.85" hidden="false" customHeight="false" outlineLevel="0" collapsed="false">
      <c r="A21" s="26" t="n">
        <v>14</v>
      </c>
      <c r="B21" s="4" t="s">
        <v>268</v>
      </c>
      <c r="C21" s="4" t="s">
        <v>269</v>
      </c>
      <c r="D21" s="4" t="s">
        <v>257</v>
      </c>
      <c r="E21" s="4" t="s">
        <v>189</v>
      </c>
      <c r="F21" s="4" t="s">
        <v>270</v>
      </c>
      <c r="G21" s="26" t="s">
        <v>220</v>
      </c>
    </row>
    <row r="22" customFormat="false" ht="23.85" hidden="false" customHeight="false" outlineLevel="0" collapsed="false">
      <c r="A22" s="26" t="n">
        <v>15</v>
      </c>
      <c r="B22" s="4" t="s">
        <v>271</v>
      </c>
      <c r="C22" s="4" t="s">
        <v>272</v>
      </c>
      <c r="D22" s="4" t="s">
        <v>273</v>
      </c>
      <c r="E22" s="4" t="s">
        <v>189</v>
      </c>
      <c r="F22" s="4" t="s">
        <v>274</v>
      </c>
      <c r="G22" s="26" t="s">
        <v>220</v>
      </c>
    </row>
    <row r="23" customFormat="false" ht="23.85" hidden="false" customHeight="false" outlineLevel="0" collapsed="false">
      <c r="A23" s="26" t="n">
        <v>16</v>
      </c>
      <c r="B23" s="4" t="s">
        <v>275</v>
      </c>
      <c r="C23" s="4" t="s">
        <v>276</v>
      </c>
      <c r="D23" s="4" t="s">
        <v>236</v>
      </c>
      <c r="E23" s="4" t="s">
        <v>189</v>
      </c>
      <c r="F23" s="4" t="s">
        <v>277</v>
      </c>
      <c r="G23" s="26" t="s">
        <v>220</v>
      </c>
    </row>
    <row r="24" customFormat="false" ht="23.85" hidden="false" customHeight="false" outlineLevel="0" collapsed="false">
      <c r="A24" s="26" t="n">
        <v>17</v>
      </c>
      <c r="B24" s="4" t="s">
        <v>278</v>
      </c>
      <c r="C24" s="4" t="s">
        <v>279</v>
      </c>
      <c r="D24" s="4" t="s">
        <v>236</v>
      </c>
      <c r="E24" s="4" t="s">
        <v>280</v>
      </c>
      <c r="F24" s="4" t="s">
        <v>281</v>
      </c>
      <c r="G24" s="26" t="s">
        <v>220</v>
      </c>
    </row>
    <row r="25" customFormat="false" ht="23.85" hidden="false" customHeight="false" outlineLevel="0" collapsed="false">
      <c r="A25" s="26" t="n">
        <v>18</v>
      </c>
      <c r="B25" s="4" t="s">
        <v>282</v>
      </c>
      <c r="C25" s="4" t="s">
        <v>283</v>
      </c>
      <c r="D25" s="4" t="s">
        <v>236</v>
      </c>
      <c r="E25" s="4" t="s">
        <v>284</v>
      </c>
      <c r="F25" s="4" t="s">
        <v>285</v>
      </c>
      <c r="G25" s="26" t="s">
        <v>220</v>
      </c>
    </row>
    <row r="26" customFormat="false" ht="23.85" hidden="false" customHeight="false" outlineLevel="0" collapsed="false">
      <c r="A26" s="26" t="n">
        <v>19</v>
      </c>
      <c r="B26" s="4" t="s">
        <v>286</v>
      </c>
      <c r="C26" s="4" t="s">
        <v>287</v>
      </c>
      <c r="D26" s="4" t="s">
        <v>288</v>
      </c>
      <c r="E26" s="4" t="s">
        <v>189</v>
      </c>
      <c r="F26" s="4" t="s">
        <v>289</v>
      </c>
      <c r="G26" s="26" t="s">
        <v>220</v>
      </c>
    </row>
    <row r="27" customFormat="false" ht="15" hidden="false" customHeight="false" outlineLevel="0" collapsed="false">
      <c r="A27" s="37" t="s">
        <v>290</v>
      </c>
      <c r="B27" s="37"/>
      <c r="C27" s="37"/>
      <c r="D27" s="37"/>
      <c r="E27" s="37"/>
      <c r="F27" s="37"/>
      <c r="G27" s="37"/>
    </row>
    <row r="28" customFormat="false" ht="15" hidden="false" customHeight="false" outlineLevel="0" collapsed="false">
      <c r="A28" s="26" t="n">
        <v>20</v>
      </c>
      <c r="B28" s="4" t="s">
        <v>291</v>
      </c>
      <c r="C28" s="4" t="s">
        <v>292</v>
      </c>
      <c r="D28" s="4" t="s">
        <v>293</v>
      </c>
      <c r="E28" s="4" t="s">
        <v>189</v>
      </c>
      <c r="F28" s="4" t="s">
        <v>294</v>
      </c>
      <c r="G28" s="26" t="s">
        <v>220</v>
      </c>
    </row>
    <row r="29" customFormat="false" ht="15" hidden="false" customHeight="false" outlineLevel="0" collapsed="false">
      <c r="A29" s="26" t="n">
        <v>21</v>
      </c>
      <c r="B29" s="4" t="s">
        <v>295</v>
      </c>
      <c r="C29" s="4" t="s">
        <v>296</v>
      </c>
      <c r="D29" s="4" t="s">
        <v>236</v>
      </c>
      <c r="E29" s="4" t="s">
        <v>189</v>
      </c>
      <c r="F29" s="4" t="s">
        <v>297</v>
      </c>
      <c r="G29" s="26" t="s">
        <v>220</v>
      </c>
    </row>
    <row r="30" customFormat="false" ht="15" hidden="false" customHeight="false" outlineLevel="0" collapsed="false">
      <c r="A30" s="37" t="s">
        <v>298</v>
      </c>
      <c r="B30" s="37"/>
      <c r="C30" s="37"/>
      <c r="D30" s="37"/>
      <c r="E30" s="37"/>
      <c r="F30" s="37"/>
      <c r="G30" s="37"/>
    </row>
    <row r="31" customFormat="false" ht="23.85" hidden="false" customHeight="false" outlineLevel="0" collapsed="false">
      <c r="A31" s="26" t="n">
        <v>22</v>
      </c>
      <c r="B31" s="4" t="s">
        <v>299</v>
      </c>
      <c r="C31" s="4" t="s">
        <v>300</v>
      </c>
      <c r="D31" s="4" t="s">
        <v>236</v>
      </c>
      <c r="E31" s="4" t="s">
        <v>301</v>
      </c>
      <c r="F31" s="4" t="s">
        <v>302</v>
      </c>
      <c r="G31" s="26" t="s">
        <v>220</v>
      </c>
    </row>
    <row r="32" customFormat="false" ht="15" hidden="false" customHeight="false" outlineLevel="0" collapsed="false">
      <c r="A32" s="26" t="n">
        <v>23</v>
      </c>
      <c r="B32" s="4" t="s">
        <v>303</v>
      </c>
      <c r="C32" s="4" t="s">
        <v>304</v>
      </c>
      <c r="D32" s="4" t="s">
        <v>305</v>
      </c>
      <c r="E32" s="4" t="s">
        <v>189</v>
      </c>
      <c r="F32" s="4" t="s">
        <v>306</v>
      </c>
      <c r="G32" s="26" t="s">
        <v>220</v>
      </c>
    </row>
    <row r="33" customFormat="false" ht="15" hidden="false" customHeight="false" outlineLevel="0" collapsed="false">
      <c r="A33" s="26" t="n">
        <v>24</v>
      </c>
      <c r="B33" s="4" t="s">
        <v>307</v>
      </c>
      <c r="C33" s="4" t="s">
        <v>308</v>
      </c>
      <c r="D33" s="4" t="s">
        <v>309</v>
      </c>
      <c r="E33" s="4" t="s">
        <v>189</v>
      </c>
      <c r="F33" s="4" t="s">
        <v>310</v>
      </c>
      <c r="G33" s="26" t="s">
        <v>220</v>
      </c>
    </row>
    <row r="34" customFormat="false" ht="15" hidden="false" customHeight="false" outlineLevel="0" collapsed="false">
      <c r="A34" s="37" t="s">
        <v>311</v>
      </c>
      <c r="B34" s="37"/>
      <c r="C34" s="37"/>
      <c r="D34" s="37"/>
      <c r="E34" s="37"/>
      <c r="F34" s="37"/>
      <c r="G34" s="37"/>
    </row>
    <row r="35" customFormat="false" ht="15" hidden="false" customHeight="false" outlineLevel="0" collapsed="false">
      <c r="A35" s="26" t="n">
        <v>25</v>
      </c>
      <c r="B35" s="4" t="s">
        <v>312</v>
      </c>
      <c r="C35" s="4" t="s">
        <v>313</v>
      </c>
      <c r="D35" s="4" t="s">
        <v>236</v>
      </c>
      <c r="E35" s="4" t="s">
        <v>189</v>
      </c>
      <c r="F35" s="4" t="s">
        <v>314</v>
      </c>
      <c r="G35" s="26" t="s">
        <v>220</v>
      </c>
    </row>
    <row r="36" customFormat="false" ht="23.85" hidden="false" customHeight="false" outlineLevel="0" collapsed="false">
      <c r="A36" s="26" t="n">
        <v>26</v>
      </c>
      <c r="B36" s="4" t="s">
        <v>315</v>
      </c>
      <c r="C36" s="4" t="s">
        <v>316</v>
      </c>
      <c r="D36" s="4" t="s">
        <v>236</v>
      </c>
      <c r="E36" s="4" t="s">
        <v>189</v>
      </c>
      <c r="F36" s="4" t="s">
        <v>317</v>
      </c>
      <c r="G36" s="26" t="s">
        <v>220</v>
      </c>
    </row>
    <row r="37" customFormat="false" ht="15" hidden="false" customHeight="false" outlineLevel="0" collapsed="false">
      <c r="A37" s="26" t="n">
        <v>27</v>
      </c>
      <c r="B37" s="4" t="s">
        <v>318</v>
      </c>
      <c r="C37" s="4" t="s">
        <v>319</v>
      </c>
      <c r="D37" s="4" t="s">
        <v>236</v>
      </c>
      <c r="E37" s="4" t="s">
        <v>189</v>
      </c>
      <c r="F37" s="4" t="s">
        <v>240</v>
      </c>
      <c r="G37" s="26" t="s">
        <v>220</v>
      </c>
    </row>
    <row r="38" customFormat="false" ht="15" hidden="false" customHeight="false" outlineLevel="0" collapsed="false">
      <c r="A38" s="26" t="n">
        <v>28</v>
      </c>
      <c r="B38" s="4" t="s">
        <v>320</v>
      </c>
      <c r="C38" s="4" t="s">
        <v>321</v>
      </c>
      <c r="D38" s="4" t="s">
        <v>236</v>
      </c>
      <c r="E38" s="4" t="s">
        <v>189</v>
      </c>
      <c r="F38" s="4" t="s">
        <v>322</v>
      </c>
      <c r="G38" s="26" t="s">
        <v>220</v>
      </c>
    </row>
    <row r="39" customFormat="false" ht="23.85" hidden="false" customHeight="false" outlineLevel="0" collapsed="false">
      <c r="A39" s="26" t="n">
        <v>29</v>
      </c>
      <c r="B39" s="4" t="s">
        <v>323</v>
      </c>
      <c r="C39" s="4" t="s">
        <v>324</v>
      </c>
      <c r="D39" s="4" t="s">
        <v>236</v>
      </c>
      <c r="E39" s="4" t="s">
        <v>325</v>
      </c>
      <c r="F39" s="4" t="s">
        <v>326</v>
      </c>
      <c r="G39" s="26" t="s">
        <v>220</v>
      </c>
    </row>
    <row r="40" customFormat="false" ht="15" hidden="false" customHeight="false" outlineLevel="0" collapsed="false">
      <c r="A40" s="26" t="n">
        <v>30</v>
      </c>
      <c r="B40" s="4" t="s">
        <v>327</v>
      </c>
      <c r="C40" s="4" t="s">
        <v>328</v>
      </c>
      <c r="D40" s="4" t="s">
        <v>236</v>
      </c>
      <c r="E40" s="4" t="s">
        <v>329</v>
      </c>
      <c r="F40" s="4" t="s">
        <v>330</v>
      </c>
      <c r="G40" s="26" t="s">
        <v>220</v>
      </c>
    </row>
    <row r="41" customFormat="false" ht="15" hidden="false" customHeight="false" outlineLevel="0" collapsed="false">
      <c r="A41" s="26" t="n">
        <v>31</v>
      </c>
      <c r="B41" s="4" t="s">
        <v>331</v>
      </c>
      <c r="C41" s="4" t="s">
        <v>332</v>
      </c>
      <c r="D41" s="4" t="s">
        <v>333</v>
      </c>
      <c r="E41" s="4" t="s">
        <v>189</v>
      </c>
      <c r="F41" s="4" t="s">
        <v>334</v>
      </c>
      <c r="G41" s="26" t="s">
        <v>220</v>
      </c>
    </row>
    <row r="42" customFormat="false" ht="15" hidden="false" customHeight="false" outlineLevel="0" collapsed="false">
      <c r="A42" s="26" t="n">
        <v>32</v>
      </c>
      <c r="B42" s="4" t="s">
        <v>335</v>
      </c>
      <c r="C42" s="4" t="s">
        <v>336</v>
      </c>
      <c r="D42" s="4" t="s">
        <v>236</v>
      </c>
      <c r="E42" s="4" t="s">
        <v>329</v>
      </c>
      <c r="F42" s="4" t="s">
        <v>337</v>
      </c>
      <c r="G42" s="26" t="s">
        <v>220</v>
      </c>
    </row>
    <row r="43" customFormat="false" ht="23.85" hidden="false" customHeight="false" outlineLevel="0" collapsed="false">
      <c r="A43" s="26" t="n">
        <v>33</v>
      </c>
      <c r="B43" s="4" t="s">
        <v>338</v>
      </c>
      <c r="C43" s="4" t="s">
        <v>339</v>
      </c>
      <c r="D43" s="4" t="s">
        <v>340</v>
      </c>
      <c r="E43" s="4" t="s">
        <v>189</v>
      </c>
      <c r="F43" s="4" t="s">
        <v>341</v>
      </c>
      <c r="G43" s="26" t="s">
        <v>220</v>
      </c>
    </row>
  </sheetData>
  <mergeCells count="6">
    <mergeCell ref="A5:G5"/>
    <mergeCell ref="A10:G10"/>
    <mergeCell ref="A16:G16"/>
    <mergeCell ref="A27:G27"/>
    <mergeCell ref="A30:G30"/>
    <mergeCell ref="A34:G34"/>
  </mergeCells>
  <dataValidations count="1">
    <dataValidation allowBlank="true" errorStyle="stop" operator="between" showDropDown="false" showErrorMessage="false" showInputMessage="false" sqref="G6:G9 G11:G15 G17:G26 G28:G29 G31:G33 G35:G43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2026-10-05T03:16:27Z</dcterms:created>
  <dc:creator>openpyxl</dc:creator>
  <dc:description/>
  <dc:language>en-US</dc:language>
  <cp:lastModifiedBy/>
  <dcterms:modified xsi:type="dcterms:W3CDTF">2026-10-05T03:16:27Z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